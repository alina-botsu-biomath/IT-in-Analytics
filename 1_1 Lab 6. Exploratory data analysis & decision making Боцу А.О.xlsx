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nks" sheetId="1" r:id="rId5"/>
    <sheet state="visible" name="Копія аркуша drinks 5)" sheetId="2" r:id="rId6"/>
    <sheet state="visible" name="Зведена таблиця 5.3)" sheetId="3" r:id="rId7"/>
    <sheet state="visible" name="Зведена таблиця 5.2)" sheetId="4" r:id="rId8"/>
    <sheet state="visible" name="Зведена таблиця 5.1)" sheetId="5" r:id="rId9"/>
    <sheet state="visible" name="Зведена таблиця 4)" sheetId="6" r:id="rId10"/>
    <sheet state="visible" name="Аркуш5" sheetId="7" r:id="rId11"/>
    <sheet state="visible" name="Діаграма8" sheetId="8" r:id="rId12"/>
    <sheet state="visible" name="Діаграма 4)" sheetId="9" r:id="rId13"/>
    <sheet state="visible" name="Копія аркуша drinks 3)" sheetId="10" r:id="rId14"/>
    <sheet state="visible" name="Зведена таблиця 3)" sheetId="11" r:id="rId15"/>
    <sheet state="visible" name="Европа 2)" sheetId="12" r:id="rId16"/>
    <sheet state="visible" name="Зведена таблиця 2)" sheetId="13" r:id="rId17"/>
    <sheet state="visible" name="Діаграма 2)" sheetId="14" r:id="rId18"/>
    <sheet state="visible" name="Зведена таблиця 1)" sheetId="15" r:id="rId19"/>
    <sheet state="visible" name="Діаграма1" sheetId="16" r:id="rId20"/>
  </sheets>
  <definedNames/>
  <calcPr/>
  <pivotCaches>
    <pivotCache cacheId="0" r:id="rId21"/>
    <pivotCache cacheId="1" r:id="rId22"/>
    <pivotCache cacheId="2" r:id="rId23"/>
    <pivotCache cacheId="3" r:id="rId24"/>
    <pivotCache cacheId="4" r:id="rId25"/>
  </pivotCaches>
</workbook>
</file>

<file path=xl/sharedStrings.xml><?xml version="1.0" encoding="utf-8"?>
<sst xmlns="http://schemas.openxmlformats.org/spreadsheetml/2006/main" count="2218" uniqueCount="220">
  <si>
    <t>країна</t>
  </si>
  <si>
    <t>порції пива</t>
  </si>
  <si>
    <t>спиртні напої</t>
  </si>
  <si>
    <t>порції вина</t>
  </si>
  <si>
    <t>country</t>
  </si>
  <si>
    <t>загальна кількість літрів чистого спирту</t>
  </si>
  <si>
    <t>beer_servings</t>
  </si>
  <si>
    <t>континент</t>
  </si>
  <si>
    <t>spirit_servings</t>
  </si>
  <si>
    <t>wine_servings</t>
  </si>
  <si>
    <t>total_litres_of_pure_alcohol</t>
  </si>
  <si>
    <t>continent</t>
  </si>
  <si>
    <t>Afghanistan</t>
  </si>
  <si>
    <t xml:space="preserve"> </t>
  </si>
  <si>
    <t>AS</t>
  </si>
  <si>
    <t>Albania</t>
  </si>
  <si>
    <t>EU</t>
  </si>
  <si>
    <t>Algeria</t>
  </si>
  <si>
    <t>AF</t>
  </si>
  <si>
    <t>визначила коєфіцієнт кореляцій між зміними</t>
  </si>
  <si>
    <t>Andorra</t>
  </si>
  <si>
    <t>Angola</t>
  </si>
  <si>
    <t>Antigua &amp; Barbuda</t>
  </si>
  <si>
    <t>NA</t>
  </si>
  <si>
    <t>Argentina</t>
  </si>
  <si>
    <t>SA</t>
  </si>
  <si>
    <t>Armenia</t>
  </si>
  <si>
    <t>Australia</t>
  </si>
  <si>
    <t>OC</t>
  </si>
  <si>
    <t>Austria</t>
  </si>
  <si>
    <t>Azerbaijan</t>
  </si>
  <si>
    <t>Bahamas</t>
  </si>
  <si>
    <t xml:space="preserve">Найбільшу залежність показує значення вживання пива та загальна кількість випитого спирту 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</si>
  <si>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</si>
  <si>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</si>
  <si>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</si>
  <si>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</si>
  <si>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</si>
  <si>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</si>
  <si>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</si>
  <si>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</si>
  <si>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</si>
  <si>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</si>
  <si>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</si>
  <si>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</si>
  <si>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</si>
  <si>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Bulgaria</t>
  </si>
  <si>
    <t>Burkina Faso</t>
  </si>
  <si>
    <t>Burundi</t>
  </si>
  <si>
    <t>Cote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</si>
  <si>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</si>
  <si>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</si>
  <si>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</si>
  <si>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</si>
  <si>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</si>
  <si>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</si>
  <si>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</si>
  <si>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</si>
  <si>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</si>
  <si>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</si>
  <si>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</si>
  <si>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</si>
  <si>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</si>
  <si>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</si>
  <si>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</si>
  <si>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</si>
  <si>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</si>
  <si>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North Korea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</si>
  <si>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</si>
  <si>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</si>
  <si>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</si>
  <si>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</si>
  <si>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</si>
  <si>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</si>
  <si>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</si>
  <si>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</si>
  <si>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</si>
  <si>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</si>
  <si>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</si>
  <si>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</si>
  <si>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</si>
  <si>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</si>
  <si>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</si>
  <si>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</si>
  <si>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SUM з spirit_servings</t>
  </si>
  <si>
    <t>SUM з total_litres_of_pure_alcohol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</si>
  <si>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</si>
  <si>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</si>
  <si>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</si>
  <si>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</si>
  <si>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</si>
  <si>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</si>
  <si>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</si>
  <si>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</si>
  <si>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</si>
  <si>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</si>
  <si>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</si>
  <si>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</si>
  <si>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</si>
  <si>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</si>
  <si>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</si>
  <si>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</si>
  <si>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</si>
  <si>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</si>
  <si>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</si>
  <si>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</si>
  <si>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</si>
  <si>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</si>
  <si>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</si>
  <si>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</si>
  <si>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</si>
  <si>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</si>
  <si>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</si>
  <si>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</si>
  <si>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</si>
  <si>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</si>
  <si>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</si>
  <si>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</si>
  <si>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</si>
  <si>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</si>
  <si>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</si>
  <si>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</si>
  <si>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</si>
  <si>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</si>
  <si>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</si>
  <si>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</si>
  <si>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Macedonia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</si>
  <si>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</si>
  <si>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</si>
  <si>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</si>
  <si>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</si>
  <si>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</si>
  <si>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</si>
  <si>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</si>
  <si>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</si>
  <si>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</si>
  <si>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</si>
  <si>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</si>
  <si>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</si>
  <si>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</si>
  <si>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</si>
  <si>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</si>
  <si>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</si>
  <si>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</si>
  <si>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</si>
  <si>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</si>
  <si>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</si>
  <si>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</si>
  <si>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</si>
  <si>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</si>
  <si>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</si>
  <si>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</si>
  <si>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</si>
  <si>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</si>
  <si>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</si>
  <si>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</si>
  <si>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</si>
  <si>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</si>
  <si>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</si>
  <si>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</si>
  <si>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</si>
  <si>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</si>
  <si>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</si>
  <si>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</si>
  <si>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</si>
  <si>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</si>
  <si>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</si>
  <si>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</si>
  <si>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</si>
  <si>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</si>
  <si>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</si>
  <si>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</si>
  <si>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</si>
  <si>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</si>
  <si>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</si>
  <si>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</si>
  <si>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</si>
  <si>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</si>
  <si>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</si>
  <si>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</si>
  <si>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</si>
  <si>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</si>
  <si>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</si>
  <si>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St. Kitts &amp; Nevis</t>
  </si>
  <si>
    <t>St. Lucia</t>
  </si>
  <si>
    <t>St. Vincent &amp; the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</si>
  <si>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</si>
  <si>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</si>
  <si>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</si>
  <si>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</si>
  <si>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</si>
  <si>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</si>
  <si>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</si>
  <si>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SUM з wine_servings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</si>
  <si>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</si>
  <si>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</si>
  <si>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</si>
  <si>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</si>
  <si>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</si>
  <si>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</si>
  <si>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</si>
  <si>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</si>
  <si>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</si>
  <si>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</si>
  <si>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</si>
  <si>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</si>
  <si>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</si>
  <si>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</si>
  <si>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</si>
  <si>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USA</t>
  </si>
  <si>
    <t>Uzbekistan</t>
  </si>
  <si>
    <t>Vanuatu</t>
  </si>
  <si>
    <t>Venezuela</t>
  </si>
  <si>
    <t>Vietnam</t>
  </si>
  <si>
    <t>Yemen</t>
  </si>
  <si>
    <t>Zambia</t>
  </si>
  <si>
    <t>Zimbabwe</t>
  </si>
  <si>
    <t>SUM з beer_servings</t>
  </si>
  <si>
    <t>SUM з порції пива</t>
  </si>
  <si>
    <t>SUM з загальна кількість літрів чистого спирту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</si>
</sst>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vertical="bottom"/>
    </xf>
    <xf borderId="2" fillId="4" fontId="4" numFmtId="0" xfId="0" applyAlignment="1" applyBorder="1" applyFill="1" applyFont="1">
      <alignment vertical="bottom"/>
    </xf>
    <xf borderId="0" fillId="5" fontId="4" numFmtId="0" xfId="0" applyAlignment="1" applyFill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chartsheet" Target="chartsheets/sheet2.xml"/><Relationship Id="rId12" Type="http://schemas.openxmlformats.org/officeDocument/2006/relationships/chartsheet" Target="chartsheets/sheet1.xml"/><Relationship Id="rId15" Type="http://schemas.openxmlformats.org/officeDocument/2006/relationships/worksheet" Target="worksheets/sheet9.xml"/><Relationship Id="rId14" Type="http://schemas.openxmlformats.org/officeDocument/2006/relationships/worksheet" Target="worksheets/sheet8.xml"/><Relationship Id="rId17" Type="http://schemas.openxmlformats.org/officeDocument/2006/relationships/worksheet" Target="worksheets/sheet11.xml"/><Relationship Id="rId16" Type="http://schemas.openxmlformats.org/officeDocument/2006/relationships/worksheet" Target="worksheets/sheet10.xml"/><Relationship Id="rId19" Type="http://schemas.openxmlformats.org/officeDocument/2006/relationships/worksheet" Target="worksheets/sheet13.xml"/><Relationship Id="rId18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 між загальною кількістю літрів чистого спирту та вина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CC0000"/>
              </a:solidFill>
              <a:ln cmpd="sng">
                <a:solidFill>
                  <a:srgbClr val="CC0000"/>
                </a:solidFill>
              </a:ln>
            </c:spPr>
          </c:marker>
          <c:trendline>
            <c:name>Пряма для набору даних "ряд даних 1"</c:name>
            <c:spPr>
              <a:ln w="19050">
                <a:solidFill>
                  <a:srgbClr val="660000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'Зведена таблиця 5.3)'!$I$13</c:f>
            </c:numRef>
          </c:xVal>
          <c:yVal>
            <c:numRef>
              <c:f>'Зведена таблиця 5.3)'!$B$1:$B$1000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097486"/>
        <c:axId val="1891207636"/>
      </c:scatterChart>
      <c:valAx>
        <c:axId val="1300097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Кількість вживаного вина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207636"/>
      </c:valAx>
      <c:valAx>
        <c:axId val="1891207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Загальна кількість літрів чистого спирту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097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 між загальною кількістю літрів чистого спирту та спиртних напоїв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74EA7"/>
              </a:solidFill>
              <a:ln cmpd="sng">
                <a:solidFill>
                  <a:srgbClr val="674EA7"/>
                </a:solidFill>
              </a:ln>
            </c:spPr>
          </c:marker>
          <c:trendline>
            <c:name>Пряма для набору даних "ряд даних 1"</c:name>
            <c:spPr>
              <a:ln w="19050">
                <a:solidFill>
                  <a:srgbClr val="9900FF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'Зведена таблиця 5.2)'!$B$1:$B$194</c:f>
            </c:numRef>
          </c:xVal>
          <c:yVal>
            <c:numRef>
              <c:f>'Зведена таблиця 5.2)'!$C$1:$C$194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57293"/>
        <c:axId val="1165659381"/>
      </c:scatterChart>
      <c:valAx>
        <c:axId val="10123572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спиртні напої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659381"/>
      </c:valAx>
      <c:valAx>
        <c:axId val="1165659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загальна кількість літрів чистого спирту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357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Залежність між загальною кількістю літрів чистого спирту та пива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BF9000"/>
              </a:solidFill>
              <a:ln cmpd="sng">
                <a:solidFill>
                  <a:srgbClr val="BF9000"/>
                </a:solidFill>
              </a:ln>
            </c:spPr>
          </c:marker>
          <c:trendline>
            <c:name>Пряма для набору даних "SUM з total_litres_of_pure_alcohol"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'Зведена таблиця 5.1)'!$B$1:$B$194</c:f>
            </c:numRef>
          </c:xVal>
          <c:yVal>
            <c:numRef>
              <c:f>'Зведена таблиця 5.1)'!$C$1:$C$194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24030"/>
        <c:axId val="835814355"/>
      </c:scatterChart>
      <c:valAx>
        <c:axId val="1277240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Кількість випитого пива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814355"/>
      </c:valAx>
      <c:valAx>
        <c:axId val="835814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Загальна кількість літрів чистого спирту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24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Інфографіка з вживання пива в Європі.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'Аркуш5'!$A$1</c:f>
            </c:strRef>
          </c:tx>
          <c:spPr>
            <a:solidFill>
              <a:schemeClr val="accent1"/>
            </a:solidFill>
            <a:ln cmpd="sng">
              <a:noFill/>
            </a:ln>
          </c:spPr>
          <c:trendline>
            <c:name>Пряма для набору даних "SUM з порції пива"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'Аркуш5'!$A$2:$A$1000</c:f>
              <c:numCache/>
            </c:numRef>
          </c:val>
        </c:ser>
        <c:ser>
          <c:idx val="1"/>
          <c:order val="1"/>
          <c:tx>
            <c:strRef>
              <c:f>'Аркуш5'!$B$1</c:f>
            </c:strRef>
          </c:tx>
          <c:val>
            <c:numRef>
              <c:f>'Аркуш5'!$B$2:$B$1000</c:f>
              <c:numCache/>
            </c:numRef>
          </c:val>
        </c:ser>
        <c:axId val="2061821562"/>
        <c:axId val="2080768398"/>
      </c:barChart>
      <c:catAx>
        <c:axId val="2061821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Європейські країни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768398"/>
      </c:catAx>
      <c:valAx>
        <c:axId val="2080768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Кількість випитого пива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821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з порції пива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'Зведена таблиця 4)'!$B$1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'Зведена таблиця 4)'!$A$2:$A$46</c:f>
            </c:strRef>
          </c:cat>
          <c:val>
            <c:numRef>
              <c:f>'Зведена таблиця 4)'!$B$2:$B$46</c:f>
              <c:numCache/>
            </c:numRef>
          </c:val>
        </c:ser>
        <c:axId val="167466237"/>
        <c:axId val="413514323"/>
      </c:barChart>
      <c:catAx>
        <c:axId val="167466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країна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514323"/>
      </c:catAx>
      <c:valAx>
        <c:axId val="41351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2000">
                    <a:solidFill>
                      <a:srgbClr val="000000"/>
                    </a:solidFill>
                    <a:latin typeface="Arial"/>
                  </a:rPr>
                  <a:t>Порції пива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66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Інфографіка з вживання вина на різних континентах.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'Зведена таблиця 3)'!$B$1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'Зведена таблиця 3)'!$A$2:$A$7</c:f>
            </c:strRef>
          </c:cat>
          <c:val>
            <c:numRef>
              <c:f>'Зведена таблиця 3)'!$B$2:$B$7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95250</xdr:rowOff>
    </xdr:from>
    <xdr:ext cx="8420100" cy="519112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0</xdr:rowOff>
    </xdr:from>
    <xdr:ext cx="9020175" cy="5057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47625</xdr:rowOff>
    </xdr:from>
    <xdr:ext cx="10106025" cy="4914900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9010650" cy="5486400"/>
    <xdr:graphicFrame>
      <xdr:nvGraphicFramePr>
        <xdr:cNvPr id="5" name="Chart 5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734791772" name="Chart7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32977912" name="Chart8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94" sheet="Копія аркуша drinks 5)"/>
  </cacheSource>
  <cacheFields>
    <cacheField name="country" numFmtId="0">
      <sharedItems>
        <s v="Afghanistan"/>
        <s v="Albania"/>
        <s v="Algeria"/>
        <s v="Andorra"/>
        <s v="Angola"/>
        <s v="Antigua &amp;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-Herzegovina"/>
        <s v="Botswana"/>
        <s v="Brazil"/>
        <s v="Brunei"/>
        <s v="Bulgaria"/>
        <s v="Burkina Faso"/>
        <s v="Burundi"/>
        <s v="Co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 Republic"/>
        <s v="North Korea"/>
        <s v="DR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South Korea"/>
        <s v="Moldova"/>
        <s v="Romania"/>
        <s v="Russian Federation"/>
        <s v="Rwanda"/>
        <s v="St. Kitts &amp; Nevis"/>
        <s v="St. Lucia"/>
        <s v="St. Vincent &amp; the Grenadines"/>
        <s v="Samoa"/>
        <s v="San Marino"/>
        <s v="Sao Tome &amp;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pain"/>
        <s v="Sri Lanka"/>
        <s v="Sudan"/>
        <s v="Suriname"/>
        <s v="Swaziland"/>
        <s v="Sweden"/>
        <s v="Switzerland"/>
        <s v="Syria"/>
        <s v="Tajikistan"/>
        <s v="Thailand"/>
        <s v="Macedonia"/>
        <s v="Timor-Leste"/>
        <s v="Togo"/>
        <s v="Tonga"/>
        <s v="Trinidad &amp; Tobago"/>
        <s v="Tunisia"/>
        <s v="Turkey"/>
        <s v="Turkmenistan"/>
        <s v="Tuvalu"/>
        <s v="Uganda"/>
        <s v="Ukraine"/>
        <s v="United Arab Emirates"/>
        <s v="United Kingdom"/>
        <s v="Tanzania"/>
        <s v="USA"/>
        <s v="Uruguay"/>
        <s v="Uzbekistan"/>
        <s v="Vanuatu"/>
        <s v="Venezuela"/>
        <s v="Vietnam"/>
        <s v="Yemen"/>
        <s v="Zambia"/>
        <s v="Zimbabwe"/>
      </sharedItems>
    </cacheField>
    <cacheField name="beer_servings" numFmtId="0">
      <sharedItems containsSemiMixedTypes="0" containsString="0" containsNumber="1" containsInteger="1">
        <n v="0.0"/>
        <n v="89.0"/>
        <n v="25.0"/>
        <n v="245.0"/>
        <n v="217.0"/>
        <n v="102.0"/>
        <n v="193.0"/>
        <n v="21.0"/>
        <n v="261.0"/>
        <n v="279.0"/>
        <n v="122.0"/>
        <n v="42.0"/>
        <n v="143.0"/>
        <n v="142.0"/>
        <n v="295.0"/>
        <n v="263.0"/>
        <n v="34.0"/>
        <n v="23.0"/>
        <n v="167.0"/>
        <n v="76.0"/>
        <n v="173.0"/>
        <n v="31.0"/>
        <n v="231.0"/>
        <n v="88.0"/>
        <n v="37.0"/>
        <n v="144.0"/>
        <n v="57.0"/>
        <n v="147.0"/>
        <n v="240.0"/>
        <n v="17.0"/>
        <n v="15.0"/>
        <n v="130.0"/>
        <n v="79.0"/>
        <n v="159.0"/>
        <n v="1.0"/>
        <n v="149.0"/>
        <n v="230.0"/>
        <n v="93.0"/>
        <n v="192.0"/>
        <n v="361.0"/>
        <n v="32.0"/>
        <n v="224.0"/>
        <n v="52.0"/>
        <n v="162.0"/>
        <n v="6.0"/>
        <n v="92.0"/>
        <n v="18.0"/>
        <n v="20.0"/>
        <n v="77.0"/>
        <n v="127.0"/>
        <n v="347.0"/>
        <n v="8.0"/>
        <n v="346.0"/>
        <n v="133.0"/>
        <n v="199.0"/>
        <n v="53.0"/>
        <n v="9.0"/>
        <n v="28.0"/>
        <n v="69.0"/>
        <n v="234.0"/>
        <n v="233.0"/>
        <n v="5.0"/>
        <n v="313.0"/>
        <n v="63.0"/>
        <n v="85.0"/>
        <n v="82.0"/>
        <n v="124.0"/>
        <n v="58.0"/>
        <n v="62.0"/>
        <n v="281.0"/>
        <n v="19.0"/>
        <n v="343.0"/>
        <n v="236.0"/>
        <n v="26.0"/>
        <n v="13.0"/>
        <n v="98.0"/>
        <n v="238.0"/>
        <n v="12.0"/>
        <n v="47.0"/>
        <n v="376.0"/>
        <n v="49.0"/>
        <n v="251.0"/>
        <n v="203.0"/>
        <n v="78.0"/>
        <n v="3.0"/>
        <n v="188.0"/>
        <n v="169.0"/>
        <n v="22.0"/>
        <n v="306.0"/>
        <n v="285.0"/>
        <n v="44.0"/>
        <n v="213.0"/>
        <n v="163.0"/>
        <n v="71.0"/>
        <n v="194.0"/>
        <n v="140.0"/>
        <n v="109.0"/>
        <n v="297.0"/>
        <n v="247.0"/>
        <n v="43.0"/>
        <n v="171.0"/>
        <n v="120.0"/>
        <n v="105.0"/>
        <n v="56.0"/>
        <n v="283.0"/>
        <n v="157.0"/>
        <n v="60.0"/>
        <n v="196.0"/>
        <n v="270.0"/>
        <n v="225.0"/>
        <n v="284.0"/>
        <n v="16.0"/>
        <n v="128.0"/>
        <n v="90.0"/>
        <n v="152.0"/>
        <n v="185.0"/>
        <n v="2.0"/>
        <n v="99.0"/>
        <n v="106.0"/>
        <n v="36.0"/>
        <n v="197.0"/>
        <n v="51.0"/>
        <n v="45.0"/>
        <n v="206.0"/>
        <n v="219.0"/>
        <n v="249.0"/>
        <n v="115.0"/>
        <n v="333.0"/>
        <n v="111.0"/>
        <n v="64.0"/>
      </sharedItems>
    </cacheField>
    <cacheField name="spirit_servings" numFmtId="0">
      <sharedItems containsSemiMixedTypes="0" containsString="0" containsNumber="1" containsInteger="1">
        <n v="0.0"/>
        <n v="132.0"/>
        <n v="138.0"/>
        <n v="57.0"/>
        <n v="128.0"/>
        <n v="25.0"/>
        <n v="179.0"/>
        <n v="72.0"/>
        <n v="75.0"/>
        <n v="46.0"/>
        <n v="176.0"/>
        <n v="63.0"/>
        <n v="173.0"/>
        <n v="373.0"/>
        <n v="84.0"/>
        <n v="114.0"/>
        <n v="4.0"/>
        <n v="41.0"/>
        <n v="35.0"/>
        <n v="145.0"/>
        <n v="2.0"/>
        <n v="252.0"/>
        <n v="7.0"/>
        <n v="1.0"/>
        <n v="56.0"/>
        <n v="65.0"/>
        <n v="122.0"/>
        <n v="124.0"/>
        <n v="192.0"/>
        <n v="76.0"/>
        <n v="3.0"/>
        <n v="254.0"/>
        <n v="87.0"/>
        <n v="137.0"/>
        <n v="154.0"/>
        <n v="170.0"/>
        <n v="81.0"/>
        <n v="44.0"/>
        <n v="286.0"/>
        <n v="147.0"/>
        <n v="74.0"/>
        <n v="69.0"/>
        <n v="194.0"/>
        <n v="133.0"/>
        <n v="151.0"/>
        <n v="98.0"/>
        <n v="100.0"/>
        <n v="117.0"/>
        <n v="112.0"/>
        <n v="438.0"/>
        <n v="31.0"/>
        <n v="302.0"/>
        <n v="326.0"/>
        <n v="215.0"/>
        <n v="61.0"/>
        <n v="118.0"/>
        <n v="42.0"/>
        <n v="97.0"/>
        <n v="202.0"/>
        <n v="21.0"/>
        <n v="246.0"/>
        <n v="22.0"/>
        <n v="34.0"/>
        <n v="216.0"/>
        <n v="55.0"/>
        <n v="29.0"/>
        <n v="152.0"/>
        <n v="244.0"/>
        <n v="15.0"/>
        <n v="11.0"/>
        <n v="68.0"/>
        <n v="50.0"/>
        <n v="189.0"/>
        <n v="6.0"/>
        <n v="18.0"/>
        <n v="88.0"/>
        <n v="79.0"/>
        <n v="5.0"/>
        <n v="200.0"/>
        <n v="71.0"/>
        <n v="16.0"/>
        <n v="104.0"/>
        <n v="39.0"/>
        <n v="160.0"/>
        <n v="186.0"/>
        <n v="67.0"/>
        <n v="226.0"/>
        <n v="205.0"/>
        <n v="315.0"/>
        <n v="221.0"/>
        <n v="38.0"/>
        <n v="131.0"/>
        <n v="12.0"/>
        <n v="293.0"/>
        <n v="51.0"/>
        <n v="157.0"/>
        <n v="13.0"/>
        <n v="178.0"/>
        <n v="60.0"/>
        <n v="258.0"/>
        <n v="27.0"/>
        <n v="156.0"/>
        <n v="9.0"/>
        <n v="237.0"/>
        <n v="135.0"/>
        <n v="126.0"/>
        <n v="158.0"/>
        <n v="101.0"/>
        <n v="19.0"/>
      </sharedItems>
    </cacheField>
    <cacheField name="wine_servings" numFmtId="0">
      <sharedItems containsSemiMixedTypes="0" containsString="0" containsNumber="1" containsInteger="1">
        <n v="0.0"/>
        <n v="54.0"/>
        <n v="14.0"/>
        <n v="312.0"/>
        <n v="45.0"/>
        <n v="221.0"/>
        <n v="11.0"/>
        <n v="212.0"/>
        <n v="191.0"/>
        <n v="5.0"/>
        <n v="51.0"/>
        <n v="7.0"/>
        <n v="36.0"/>
        <n v="42.0"/>
        <n v="8.0"/>
        <n v="13.0"/>
        <n v="35.0"/>
        <n v="16.0"/>
        <n v="1.0"/>
        <n v="94.0"/>
        <n v="4.0"/>
        <n v="100.0"/>
        <n v="172.0"/>
        <n v="3.0"/>
        <n v="9.0"/>
        <n v="74.0"/>
        <n v="254.0"/>
        <n v="113.0"/>
        <n v="134.0"/>
        <n v="278.0"/>
        <n v="26.0"/>
        <n v="2.0"/>
        <n v="233.0"/>
        <n v="59.0"/>
        <n v="97.0"/>
        <n v="370.0"/>
        <n v="149.0"/>
        <n v="175.0"/>
        <n v="10.0"/>
        <n v="218.0"/>
        <n v="28.0"/>
        <n v="21.0"/>
        <n v="185.0"/>
        <n v="78.0"/>
        <n v="165.0"/>
        <n v="237.0"/>
        <n v="12.0"/>
        <n v="6.0"/>
        <n v="123.0"/>
        <n v="62.0"/>
        <n v="31.0"/>
        <n v="56.0"/>
        <n v="271.0"/>
        <n v="120.0"/>
        <n v="18.0"/>
        <n v="128.0"/>
        <n v="190.0"/>
        <n v="129.0"/>
        <n v="23.0"/>
        <n v="339.0"/>
        <n v="167.0"/>
        <n v="73.0"/>
        <n v="32.0"/>
        <n v="71.0"/>
        <n v="24.0"/>
        <n v="140.0"/>
        <n v="127.0"/>
        <n v="116.0"/>
        <n v="276.0"/>
        <n v="81.0"/>
        <n v="112.0"/>
        <n v="186.0"/>
        <n v="280.0"/>
        <n v="86.0"/>
        <n v="19.0"/>
        <n v="20.0"/>
        <n v="195.0"/>
        <n v="84.0"/>
        <n v="220.0"/>
      </sharedItems>
    </cacheField>
    <cacheField name="total_litres_of_pure_alcohol" numFmtId="0">
      <sharedItems containsSemiMixedTypes="0" containsString="0" containsNumber="1">
        <n v="0.0"/>
        <n v="4.9"/>
        <n v="0.7"/>
        <n v="12.4"/>
        <n v="5.9"/>
        <n v="8.3"/>
        <n v="3.8"/>
        <n v="10.4"/>
        <n v="9.7"/>
        <n v="1.3"/>
        <n v="6.3"/>
        <n v="2.0"/>
        <n v="14.4"/>
        <n v="10.5"/>
        <n v="6.8"/>
        <n v="1.1"/>
        <n v="0.4"/>
        <n v="4.6"/>
        <n v="5.4"/>
        <n v="7.2"/>
        <n v="0.6"/>
        <n v="10.3"/>
        <n v="4.3"/>
        <n v="4.0"/>
        <n v="2.2"/>
        <n v="5.8"/>
        <n v="8.2"/>
        <n v="1.8"/>
        <n v="7.6"/>
        <n v="5.0"/>
        <n v="4.2"/>
        <n v="0.1"/>
        <n v="1.7"/>
        <n v="4.4"/>
        <n v="10.2"/>
        <n v="11.8"/>
        <n v="2.3"/>
        <n v="6.6"/>
        <n v="6.2"/>
        <n v="0.2"/>
        <n v="0.5"/>
        <n v="9.5"/>
        <n v="10.0"/>
        <n v="8.9"/>
        <n v="2.4"/>
        <n v="11.3"/>
        <n v="11.9"/>
        <n v="2.5"/>
        <n v="7.1"/>
        <n v="3.0"/>
        <n v="11.4"/>
        <n v="6.5"/>
        <n v="3.4"/>
        <n v="7.0"/>
        <n v="1.0"/>
        <n v="1.9"/>
        <n v="2.8"/>
        <n v="3.1"/>
        <n v="12.9"/>
        <n v="0.8"/>
        <n v="1.5"/>
        <n v="0.3"/>
        <n v="2.6"/>
        <n v="5.5"/>
        <n v="9.4"/>
        <n v="9.3"/>
        <n v="3.5"/>
        <n v="9.1"/>
        <n v="6.7"/>
        <n v="6.9"/>
        <n v="7.3"/>
        <n v="6.1"/>
        <n v="10.9"/>
        <n v="11.0"/>
        <n v="0.9"/>
        <n v="9.8"/>
        <n v="11.5"/>
        <n v="7.7"/>
        <n v="10.1"/>
        <n v="9.6"/>
        <n v="4.1"/>
        <n v="10.6"/>
        <n v="1.2"/>
        <n v="5.6"/>
        <n v="4.7"/>
        <n v="6.4"/>
        <n v="3.9"/>
        <n v="1.4"/>
        <n v="5.7"/>
        <n v="8.7"/>
      </sharedItems>
    </cacheField>
    <cacheField name="continent" numFmtId="0">
      <sharedItems>
        <s v="AS"/>
        <s v="EU"/>
        <s v="AF"/>
        <s v="NA"/>
        <s v="SA"/>
        <s v="OC"/>
      </sharedItems>
    </cacheField>
    <cacheField name=" ">
      <sharedItems containsBlank="1" containsMixedTypes="1" containsNumber="1">
        <s v="визначила коєфіцієнт кореляцій між зміними"/>
        <n v="0.8358386279352706"/>
        <s v="Найбільшу залежність показує значення вживання пива та загальна кількість випитого спирту "/>
        <m/>
      </sharedItems>
    </cacheField>
    <cacheField name=" 2" numFmtId="0">
      <sharedItems containsString="0" containsBlank="1" containsNumber="1">
        <m/>
        <n v="0.6549681750838605"/>
      </sharedItems>
    </cacheField>
    <cacheField name=" 3" numFmtId="0">
      <sharedItems containsString="0" containsBlank="1" containsNumber="1">
        <m/>
        <n v="0.6675983418034834"/>
      </sharedItems>
    </cacheField>
    <cacheField name=" 4" numFmtId="0">
      <sharedItems containsString="0" containsBlank="1" containsNumber="1">
        <m/>
        <n v="1.0000000000000002"/>
      </sharedItems>
    </cacheField>
    <cacheField name=" 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94" sheet="Копія аркуша drinks 5)"/>
  </cacheSource>
  <cacheFields>
    <cacheField name="country" numFmtId="0">
      <sharedItems>
        <s v="Afghanistan"/>
        <s v="Albania"/>
        <s v="Algeria"/>
        <s v="Andorra"/>
        <s v="Angola"/>
        <s v="Antigua &amp;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-Herzegovina"/>
        <s v="Botswana"/>
        <s v="Brazil"/>
        <s v="Brunei"/>
        <s v="Bulgaria"/>
        <s v="Burkina Faso"/>
        <s v="Burundi"/>
        <s v="Co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 Republic"/>
        <s v="North Korea"/>
        <s v="DR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South Korea"/>
        <s v="Moldova"/>
        <s v="Romania"/>
        <s v="Russian Federation"/>
        <s v="Rwanda"/>
        <s v="St. Kitts &amp; Nevis"/>
        <s v="St. Lucia"/>
        <s v="St. Vincent &amp; the Grenadines"/>
        <s v="Samoa"/>
        <s v="San Marino"/>
        <s v="Sao Tome &amp;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pain"/>
        <s v="Sri Lanka"/>
        <s v="Sudan"/>
        <s v="Suriname"/>
        <s v="Swaziland"/>
        <s v="Sweden"/>
        <s v="Switzerland"/>
        <s v="Syria"/>
        <s v="Tajikistan"/>
        <s v="Thailand"/>
        <s v="Macedonia"/>
        <s v="Timor-Leste"/>
        <s v="Togo"/>
        <s v="Tonga"/>
        <s v="Trinidad &amp; Tobago"/>
        <s v="Tunisia"/>
        <s v="Turkey"/>
        <s v="Turkmenistan"/>
        <s v="Tuvalu"/>
        <s v="Uganda"/>
        <s v="Ukraine"/>
        <s v="United Arab Emirates"/>
        <s v="United Kingdom"/>
        <s v="Tanzania"/>
        <s v="USA"/>
        <s v="Uruguay"/>
        <s v="Uzbekistan"/>
        <s v="Vanuatu"/>
        <s v="Venezuela"/>
        <s v="Vietnam"/>
        <s v="Yemen"/>
        <s v="Zambia"/>
        <s v="Zimbabwe"/>
      </sharedItems>
    </cacheField>
    <cacheField name="beer_servings" numFmtId="0">
      <sharedItems containsSemiMixedTypes="0" containsString="0" containsNumber="1" containsInteger="1">
        <n v="0.0"/>
        <n v="89.0"/>
        <n v="25.0"/>
        <n v="245.0"/>
        <n v="217.0"/>
        <n v="102.0"/>
        <n v="193.0"/>
        <n v="21.0"/>
        <n v="261.0"/>
        <n v="279.0"/>
        <n v="122.0"/>
        <n v="42.0"/>
        <n v="143.0"/>
        <n v="142.0"/>
        <n v="295.0"/>
        <n v="263.0"/>
        <n v="34.0"/>
        <n v="23.0"/>
        <n v="167.0"/>
        <n v="76.0"/>
        <n v="173.0"/>
        <n v="31.0"/>
        <n v="231.0"/>
        <n v="88.0"/>
        <n v="37.0"/>
        <n v="144.0"/>
        <n v="57.0"/>
        <n v="147.0"/>
        <n v="240.0"/>
        <n v="17.0"/>
        <n v="15.0"/>
        <n v="130.0"/>
        <n v="79.0"/>
        <n v="159.0"/>
        <n v="1.0"/>
        <n v="149.0"/>
        <n v="230.0"/>
        <n v="93.0"/>
        <n v="192.0"/>
        <n v="361.0"/>
        <n v="32.0"/>
        <n v="224.0"/>
        <n v="52.0"/>
        <n v="162.0"/>
        <n v="6.0"/>
        <n v="92.0"/>
        <n v="18.0"/>
        <n v="20.0"/>
        <n v="77.0"/>
        <n v="127.0"/>
        <n v="347.0"/>
        <n v="8.0"/>
        <n v="346.0"/>
        <n v="133.0"/>
        <n v="199.0"/>
        <n v="53.0"/>
        <n v="9.0"/>
        <n v="28.0"/>
        <n v="69.0"/>
        <n v="234.0"/>
        <n v="233.0"/>
        <n v="5.0"/>
        <n v="313.0"/>
        <n v="63.0"/>
        <n v="85.0"/>
        <n v="82.0"/>
        <n v="124.0"/>
        <n v="58.0"/>
        <n v="62.0"/>
        <n v="281.0"/>
        <n v="19.0"/>
        <n v="343.0"/>
        <n v="236.0"/>
        <n v="26.0"/>
        <n v="13.0"/>
        <n v="98.0"/>
        <n v="238.0"/>
        <n v="12.0"/>
        <n v="47.0"/>
        <n v="376.0"/>
        <n v="49.0"/>
        <n v="251.0"/>
        <n v="203.0"/>
        <n v="78.0"/>
        <n v="3.0"/>
        <n v="188.0"/>
        <n v="169.0"/>
        <n v="22.0"/>
        <n v="306.0"/>
        <n v="285.0"/>
        <n v="44.0"/>
        <n v="213.0"/>
        <n v="163.0"/>
        <n v="71.0"/>
        <n v="194.0"/>
        <n v="140.0"/>
        <n v="109.0"/>
        <n v="297.0"/>
        <n v="247.0"/>
        <n v="43.0"/>
        <n v="171.0"/>
        <n v="120.0"/>
        <n v="105.0"/>
        <n v="56.0"/>
        <n v="283.0"/>
        <n v="157.0"/>
        <n v="60.0"/>
        <n v="196.0"/>
        <n v="270.0"/>
        <n v="225.0"/>
        <n v="284.0"/>
        <n v="16.0"/>
        <n v="128.0"/>
        <n v="90.0"/>
        <n v="152.0"/>
        <n v="185.0"/>
        <n v="2.0"/>
        <n v="99.0"/>
        <n v="106.0"/>
        <n v="36.0"/>
        <n v="197.0"/>
        <n v="51.0"/>
        <n v="45.0"/>
        <n v="206.0"/>
        <n v="219.0"/>
        <n v="249.0"/>
        <n v="115.0"/>
        <n v="333.0"/>
        <n v="111.0"/>
        <n v="64.0"/>
      </sharedItems>
    </cacheField>
    <cacheField name="spirit_servings" numFmtId="0">
      <sharedItems containsSemiMixedTypes="0" containsString="0" containsNumber="1" containsInteger="1">
        <n v="0.0"/>
        <n v="132.0"/>
        <n v="138.0"/>
        <n v="57.0"/>
        <n v="128.0"/>
        <n v="25.0"/>
        <n v="179.0"/>
        <n v="72.0"/>
        <n v="75.0"/>
        <n v="46.0"/>
        <n v="176.0"/>
        <n v="63.0"/>
        <n v="173.0"/>
        <n v="373.0"/>
        <n v="84.0"/>
        <n v="114.0"/>
        <n v="4.0"/>
        <n v="41.0"/>
        <n v="35.0"/>
        <n v="145.0"/>
        <n v="2.0"/>
        <n v="252.0"/>
        <n v="7.0"/>
        <n v="1.0"/>
        <n v="56.0"/>
        <n v="65.0"/>
        <n v="122.0"/>
        <n v="124.0"/>
        <n v="192.0"/>
        <n v="76.0"/>
        <n v="3.0"/>
        <n v="254.0"/>
        <n v="87.0"/>
        <n v="137.0"/>
        <n v="154.0"/>
        <n v="170.0"/>
        <n v="81.0"/>
        <n v="44.0"/>
        <n v="286.0"/>
        <n v="147.0"/>
        <n v="74.0"/>
        <n v="69.0"/>
        <n v="194.0"/>
        <n v="133.0"/>
        <n v="151.0"/>
        <n v="98.0"/>
        <n v="100.0"/>
        <n v="117.0"/>
        <n v="112.0"/>
        <n v="438.0"/>
        <n v="31.0"/>
        <n v="302.0"/>
        <n v="326.0"/>
        <n v="215.0"/>
        <n v="61.0"/>
        <n v="118.0"/>
        <n v="42.0"/>
        <n v="97.0"/>
        <n v="202.0"/>
        <n v="21.0"/>
        <n v="246.0"/>
        <n v="22.0"/>
        <n v="34.0"/>
        <n v="216.0"/>
        <n v="55.0"/>
        <n v="29.0"/>
        <n v="152.0"/>
        <n v="244.0"/>
        <n v="15.0"/>
        <n v="11.0"/>
        <n v="68.0"/>
        <n v="50.0"/>
        <n v="189.0"/>
        <n v="6.0"/>
        <n v="18.0"/>
        <n v="88.0"/>
        <n v="79.0"/>
        <n v="5.0"/>
        <n v="200.0"/>
        <n v="71.0"/>
        <n v="16.0"/>
        <n v="104.0"/>
        <n v="39.0"/>
        <n v="160.0"/>
        <n v="186.0"/>
        <n v="67.0"/>
        <n v="226.0"/>
        <n v="205.0"/>
        <n v="315.0"/>
        <n v="221.0"/>
        <n v="38.0"/>
        <n v="131.0"/>
        <n v="12.0"/>
        <n v="293.0"/>
        <n v="51.0"/>
        <n v="157.0"/>
        <n v="13.0"/>
        <n v="178.0"/>
        <n v="60.0"/>
        <n v="258.0"/>
        <n v="27.0"/>
        <n v="156.0"/>
        <n v="9.0"/>
        <n v="237.0"/>
        <n v="135.0"/>
        <n v="126.0"/>
        <n v="158.0"/>
        <n v="101.0"/>
        <n v="19.0"/>
      </sharedItems>
    </cacheField>
    <cacheField name="wine_servings" numFmtId="0">
      <sharedItems containsSemiMixedTypes="0" containsString="0" containsNumber="1" containsInteger="1">
        <n v="0.0"/>
        <n v="54.0"/>
        <n v="14.0"/>
        <n v="312.0"/>
        <n v="45.0"/>
        <n v="221.0"/>
        <n v="11.0"/>
        <n v="212.0"/>
        <n v="191.0"/>
        <n v="5.0"/>
        <n v="51.0"/>
        <n v="7.0"/>
        <n v="36.0"/>
        <n v="42.0"/>
        <n v="8.0"/>
        <n v="13.0"/>
        <n v="35.0"/>
        <n v="16.0"/>
        <n v="1.0"/>
        <n v="94.0"/>
        <n v="4.0"/>
        <n v="100.0"/>
        <n v="172.0"/>
        <n v="3.0"/>
        <n v="9.0"/>
        <n v="74.0"/>
        <n v="254.0"/>
        <n v="113.0"/>
        <n v="134.0"/>
        <n v="278.0"/>
        <n v="26.0"/>
        <n v="2.0"/>
        <n v="233.0"/>
        <n v="59.0"/>
        <n v="97.0"/>
        <n v="370.0"/>
        <n v="149.0"/>
        <n v="175.0"/>
        <n v="10.0"/>
        <n v="218.0"/>
        <n v="28.0"/>
        <n v="21.0"/>
        <n v="185.0"/>
        <n v="78.0"/>
        <n v="165.0"/>
        <n v="237.0"/>
        <n v="12.0"/>
        <n v="6.0"/>
        <n v="123.0"/>
        <n v="62.0"/>
        <n v="31.0"/>
        <n v="56.0"/>
        <n v="271.0"/>
        <n v="120.0"/>
        <n v="18.0"/>
        <n v="128.0"/>
        <n v="190.0"/>
        <n v="129.0"/>
        <n v="23.0"/>
        <n v="339.0"/>
        <n v="167.0"/>
        <n v="73.0"/>
        <n v="32.0"/>
        <n v="71.0"/>
        <n v="24.0"/>
        <n v="140.0"/>
        <n v="127.0"/>
        <n v="116.0"/>
        <n v="276.0"/>
        <n v="81.0"/>
        <n v="112.0"/>
        <n v="186.0"/>
        <n v="280.0"/>
        <n v="86.0"/>
        <n v="19.0"/>
        <n v="20.0"/>
        <n v="195.0"/>
        <n v="84.0"/>
        <n v="220.0"/>
      </sharedItems>
    </cacheField>
    <cacheField name="total_litres_of_pure_alcohol" numFmtId="0">
      <sharedItems containsSemiMixedTypes="0" containsString="0" containsNumber="1">
        <n v="0.0"/>
        <n v="4.9"/>
        <n v="0.7"/>
        <n v="12.4"/>
        <n v="5.9"/>
        <n v="8.3"/>
        <n v="3.8"/>
        <n v="10.4"/>
        <n v="9.7"/>
        <n v="1.3"/>
        <n v="6.3"/>
        <n v="2.0"/>
        <n v="14.4"/>
        <n v="10.5"/>
        <n v="6.8"/>
        <n v="1.1"/>
        <n v="0.4"/>
        <n v="4.6"/>
        <n v="5.4"/>
        <n v="7.2"/>
        <n v="0.6"/>
        <n v="10.3"/>
        <n v="4.3"/>
        <n v="4.0"/>
        <n v="2.2"/>
        <n v="5.8"/>
        <n v="8.2"/>
        <n v="1.8"/>
        <n v="7.6"/>
        <n v="5.0"/>
        <n v="4.2"/>
        <n v="0.1"/>
        <n v="1.7"/>
        <n v="4.4"/>
        <n v="10.2"/>
        <n v="11.8"/>
        <n v="2.3"/>
        <n v="6.6"/>
        <n v="6.2"/>
        <n v="0.2"/>
        <n v="0.5"/>
        <n v="9.5"/>
        <n v="10.0"/>
        <n v="8.9"/>
        <n v="2.4"/>
        <n v="11.3"/>
        <n v="11.9"/>
        <n v="2.5"/>
        <n v="7.1"/>
        <n v="3.0"/>
        <n v="11.4"/>
        <n v="6.5"/>
        <n v="3.4"/>
        <n v="7.0"/>
        <n v="1.0"/>
        <n v="1.9"/>
        <n v="2.8"/>
        <n v="3.1"/>
        <n v="12.9"/>
        <n v="0.8"/>
        <n v="1.5"/>
        <n v="0.3"/>
        <n v="2.6"/>
        <n v="5.5"/>
        <n v="9.4"/>
        <n v="9.3"/>
        <n v="3.5"/>
        <n v="9.1"/>
        <n v="6.7"/>
        <n v="6.9"/>
        <n v="7.3"/>
        <n v="6.1"/>
        <n v="10.9"/>
        <n v="11.0"/>
        <n v="0.9"/>
        <n v="9.8"/>
        <n v="11.5"/>
        <n v="7.7"/>
        <n v="10.1"/>
        <n v="9.6"/>
        <n v="4.1"/>
        <n v="10.6"/>
        <n v="1.2"/>
        <n v="5.6"/>
        <n v="4.7"/>
        <n v="6.4"/>
        <n v="3.9"/>
        <n v="1.4"/>
        <n v="5.7"/>
        <n v="8.7"/>
      </sharedItems>
    </cacheField>
    <cacheField name="continent" numFmtId="0">
      <sharedItems>
        <s v="AS"/>
        <s v="EU"/>
        <s v="AF"/>
        <s v="NA"/>
        <s v="SA"/>
        <s v="OC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6" sheet="Европа 2)"/>
  </cacheSource>
  <cacheFields>
    <cacheField name="країна" numFmtId="0">
      <sharedItems>
        <s v="Monaco"/>
        <s v="San Marino"/>
        <s v="Azerbaijan"/>
        <s v="Armenia"/>
        <s v="Macedonia"/>
        <s v="Bosnia-Herzegovina"/>
        <s v="Albania"/>
        <s v="Montenegro"/>
        <s v="Georgia"/>
        <s v="Moldova"/>
        <s v="Italy"/>
        <s v="Iceland"/>
        <s v="Malta"/>
        <s v="Norway"/>
        <s v="Sweden"/>
        <s v="Cyprus"/>
        <s v="Greece"/>
        <s v="Ukraine"/>
        <s v="Netherlands"/>
        <s v="Estonia"/>
        <s v="Serbia"/>
        <s v="Austria"/>
        <s v="Finland"/>
        <s v="Spain"/>
        <s v="Croatia"/>
        <s v="Switzerland"/>
        <s v="Bulgaria"/>
        <s v="Denmark"/>
        <s v="Romania"/>
        <s v="United Kingdom"/>
        <s v="Belgium"/>
        <s v="Latvia"/>
        <s v="Slovenia"/>
        <s v="Poland"/>
        <s v="Portugal"/>
        <s v="Germany"/>
        <s v="Hungary"/>
        <s v="Ireland"/>
        <s v="Luxembourg"/>
        <s v="Slovakia"/>
        <s v="Czech Republic"/>
        <s v="France"/>
        <s v="Andorra"/>
        <s v="Lithuania"/>
        <s v="Belarus"/>
      </sharedItems>
    </cacheField>
    <cacheField name="порції пива" numFmtId="0">
      <sharedItems containsSemiMixedTypes="0" containsString="0" containsNumber="1" containsInteger="1">
        <n v="0.0"/>
        <n v="21.0"/>
        <n v="106.0"/>
        <n v="76.0"/>
        <n v="89.0"/>
        <n v="31.0"/>
        <n v="52.0"/>
        <n v="109.0"/>
        <n v="85.0"/>
        <n v="233.0"/>
        <n v="149.0"/>
        <n v="169.0"/>
        <n v="152.0"/>
        <n v="192.0"/>
        <n v="133.0"/>
        <n v="206.0"/>
        <n v="251.0"/>
        <n v="224.0"/>
        <n v="283.0"/>
        <n v="279.0"/>
        <n v="263.0"/>
        <n v="284.0"/>
        <n v="230.0"/>
        <n v="185.0"/>
        <n v="231.0"/>
        <n v="297.0"/>
        <n v="219.0"/>
        <n v="295.0"/>
        <n v="281.0"/>
        <n v="270.0"/>
        <n v="343.0"/>
        <n v="194.0"/>
        <n v="346.0"/>
        <n v="234.0"/>
        <n v="313.0"/>
        <n v="236.0"/>
        <n v="196.0"/>
        <n v="361.0"/>
        <n v="127.0"/>
        <n v="245.0"/>
        <n v="142.0"/>
      </sharedItems>
    </cacheField>
    <cacheField name="спиртні напої" numFmtId="0">
      <sharedItems containsSemiMixedTypes="0" containsString="0" containsNumber="1" containsInteger="1">
        <n v="0.0"/>
        <n v="46.0"/>
        <n v="179.0"/>
        <n v="27.0"/>
        <n v="173.0"/>
        <n v="132.0"/>
        <n v="114.0"/>
        <n v="100.0"/>
        <n v="226.0"/>
        <n v="42.0"/>
        <n v="61.0"/>
        <n v="71.0"/>
        <n v="60.0"/>
        <n v="154.0"/>
        <n v="112.0"/>
        <n v="237.0"/>
        <n v="88.0"/>
        <n v="194.0"/>
        <n v="131.0"/>
        <n v="75.0"/>
        <n v="133.0"/>
        <n v="157.0"/>
        <n v="87.0"/>
        <n v="252.0"/>
        <n v="81.0"/>
        <n v="122.0"/>
        <n v="126.0"/>
        <n v="84.0"/>
        <n v="216.0"/>
        <n v="51.0"/>
        <n v="215.0"/>
        <n v="67.0"/>
        <n v="117.0"/>
        <n v="118.0"/>
        <n v="293.0"/>
        <n v="170.0"/>
        <n v="151.0"/>
        <n v="138.0"/>
        <n v="244.0"/>
        <n v="373.0"/>
      </sharedItems>
    </cacheField>
    <cacheField name="порції вина" numFmtId="0">
      <sharedItems containsSemiMixedTypes="0" containsString="0" containsNumber="1" containsInteger="1">
        <n v="0.0"/>
        <n v="5.0"/>
        <n v="11.0"/>
        <n v="86.0"/>
        <n v="8.0"/>
        <n v="54.0"/>
        <n v="128.0"/>
        <n v="149.0"/>
        <n v="18.0"/>
        <n v="237.0"/>
        <n v="78.0"/>
        <n v="120.0"/>
        <n v="129.0"/>
        <n v="186.0"/>
        <n v="113.0"/>
        <n v="218.0"/>
        <n v="45.0"/>
        <n v="190.0"/>
        <n v="59.0"/>
        <n v="127.0"/>
        <n v="191.0"/>
        <n v="97.0"/>
        <n v="112.0"/>
        <n v="254.0"/>
        <n v="280.0"/>
        <n v="94.0"/>
        <n v="278.0"/>
        <n v="167.0"/>
        <n v="195.0"/>
        <n v="212.0"/>
        <n v="62.0"/>
        <n v="276.0"/>
        <n v="56.0"/>
        <n v="339.0"/>
        <n v="175.0"/>
        <n v="185.0"/>
        <n v="165.0"/>
        <n v="271.0"/>
        <n v="116.0"/>
        <n v="134.0"/>
        <n v="370.0"/>
        <n v="312.0"/>
        <n v="42.0"/>
      </sharedItems>
    </cacheField>
    <cacheField name="загальна кількість літрів чистого спирту" numFmtId="0">
      <sharedItems containsSemiMixedTypes="0" containsString="0" containsNumber="1">
        <n v="0.0"/>
        <n v="1.3"/>
        <n v="3.8"/>
        <n v="3.9"/>
        <n v="4.6"/>
        <n v="4.9"/>
        <n v="5.4"/>
        <n v="6.3"/>
        <n v="6.5"/>
        <n v="6.6"/>
        <n v="6.7"/>
        <n v="7.2"/>
        <n v="8.2"/>
        <n v="8.3"/>
        <n v="8.9"/>
        <n v="9.4"/>
        <n v="9.5"/>
        <n v="9.6"/>
        <n v="9.7"/>
        <n v="10.0"/>
        <n v="10.2"/>
        <n v="10.3"/>
        <n v="10.4"/>
        <n v="10.5"/>
        <n v="10.6"/>
        <n v="10.9"/>
        <n v="11.0"/>
        <n v="11.3"/>
        <n v="11.4"/>
        <n v="11.8"/>
        <n v="12.4"/>
        <n v="12.9"/>
        <n v="14.4"/>
      </sharedItems>
    </cacheField>
    <cacheField name="континент" numFmtId="0">
      <sharedItems>
        <s v="EU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F195" sheet="Копія аркуша drinks 3)"/>
  </cacheSource>
  <cacheFields>
    <cacheField name="country" numFmtId="0">
      <sharedItems>
        <s v="Afghanistan"/>
        <s v="Albania"/>
        <s v="Algeria"/>
        <s v="Andorra"/>
        <s v="Angola"/>
        <s v="Antigua &amp;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-Herzegovina"/>
        <s v="Botswana"/>
        <s v="Brazil"/>
        <s v="Brunei"/>
        <s v="Bulgaria"/>
        <s v="Burkina Faso"/>
        <s v="Burundi"/>
        <s v="Co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 Republic"/>
        <s v="North Korea"/>
        <s v="DR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South Korea"/>
        <s v="Moldova"/>
        <s v="Romania"/>
        <s v="Russian Federation"/>
        <s v="Rwanda"/>
        <s v="St. Kitts &amp; Nevis"/>
        <s v="St. Lucia"/>
        <s v="St. Vincent &amp; the Grenadines"/>
        <s v="Samoa"/>
        <s v="San Marino"/>
        <s v="Sao Tome &amp;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pain"/>
        <s v="Sri Lanka"/>
        <s v="Sudan"/>
        <s v="Suriname"/>
        <s v="Swaziland"/>
        <s v="Sweden"/>
        <s v="Switzerland"/>
        <s v="Syria"/>
        <s v="Tajikistan"/>
        <s v="Thailand"/>
        <s v="Macedonia"/>
        <s v="Timor-Leste"/>
        <s v="Togo"/>
        <s v="Tonga"/>
        <s v="Trinidad &amp; Tobago"/>
        <s v="Tunisia"/>
        <s v="Turkey"/>
        <s v="Turkmenistan"/>
        <s v="Tuvalu"/>
        <s v="Uganda"/>
        <s v="Ukraine"/>
        <s v="United Arab Emirates"/>
        <s v="United Kingdom"/>
        <s v="Tanzania"/>
        <s v="USA"/>
        <s v="Uruguay"/>
        <s v="Uzbekistan"/>
        <s v="Vanuatu"/>
        <s v="Venezuela"/>
        <s v="Vietnam"/>
        <s v="Yemen"/>
        <s v="Zambia"/>
        <s v="Zimbabwe"/>
      </sharedItems>
    </cacheField>
    <cacheField name="beer_servings" numFmtId="0">
      <sharedItems containsSemiMixedTypes="0" containsString="0" containsNumber="1" containsInteger="1">
        <n v="0.0"/>
        <n v="89.0"/>
        <n v="25.0"/>
        <n v="245.0"/>
        <n v="217.0"/>
        <n v="102.0"/>
        <n v="193.0"/>
        <n v="21.0"/>
        <n v="261.0"/>
        <n v="279.0"/>
        <n v="122.0"/>
        <n v="42.0"/>
        <n v="143.0"/>
        <n v="142.0"/>
        <n v="295.0"/>
        <n v="263.0"/>
        <n v="34.0"/>
        <n v="23.0"/>
        <n v="167.0"/>
        <n v="76.0"/>
        <n v="173.0"/>
        <n v="31.0"/>
        <n v="231.0"/>
        <n v="88.0"/>
        <n v="37.0"/>
        <n v="144.0"/>
        <n v="57.0"/>
        <n v="147.0"/>
        <n v="240.0"/>
        <n v="17.0"/>
        <n v="15.0"/>
        <n v="130.0"/>
        <n v="79.0"/>
        <n v="159.0"/>
        <n v="1.0"/>
        <n v="149.0"/>
        <n v="230.0"/>
        <n v="93.0"/>
        <n v="192.0"/>
        <n v="361.0"/>
        <n v="32.0"/>
        <n v="224.0"/>
        <n v="52.0"/>
        <n v="162.0"/>
        <n v="6.0"/>
        <n v="92.0"/>
        <n v="18.0"/>
        <n v="20.0"/>
        <n v="77.0"/>
        <n v="127.0"/>
        <n v="347.0"/>
        <n v="8.0"/>
        <n v="346.0"/>
        <n v="133.0"/>
        <n v="199.0"/>
        <n v="53.0"/>
        <n v="9.0"/>
        <n v="28.0"/>
        <n v="69.0"/>
        <n v="234.0"/>
        <n v="233.0"/>
        <n v="5.0"/>
        <n v="313.0"/>
        <n v="63.0"/>
        <n v="85.0"/>
        <n v="82.0"/>
        <n v="124.0"/>
        <n v="58.0"/>
        <n v="62.0"/>
        <n v="281.0"/>
        <n v="19.0"/>
        <n v="343.0"/>
        <n v="236.0"/>
        <n v="26.0"/>
        <n v="13.0"/>
        <n v="98.0"/>
        <n v="238.0"/>
        <n v="12.0"/>
        <n v="47.0"/>
        <n v="376.0"/>
        <n v="49.0"/>
        <n v="251.0"/>
        <n v="203.0"/>
        <n v="78.0"/>
        <n v="3.0"/>
        <n v="188.0"/>
        <n v="169.0"/>
        <n v="22.0"/>
        <n v="306.0"/>
        <n v="285.0"/>
        <n v="44.0"/>
        <n v="213.0"/>
        <n v="163.0"/>
        <n v="71.0"/>
        <n v="194.0"/>
        <n v="140.0"/>
        <n v="109.0"/>
        <n v="297.0"/>
        <n v="247.0"/>
        <n v="43.0"/>
        <n v="171.0"/>
        <n v="120.0"/>
        <n v="105.0"/>
        <n v="56.0"/>
        <n v="283.0"/>
        <n v="157.0"/>
        <n v="60.0"/>
        <n v="196.0"/>
        <n v="270.0"/>
        <n v="225.0"/>
        <n v="284.0"/>
        <n v="16.0"/>
        <n v="128.0"/>
        <n v="90.0"/>
        <n v="152.0"/>
        <n v="185.0"/>
        <n v="2.0"/>
        <n v="99.0"/>
        <n v="106.0"/>
        <n v="36.0"/>
        <n v="197.0"/>
        <n v="51.0"/>
        <n v="45.0"/>
        <n v="206.0"/>
        <n v="219.0"/>
        <n v="249.0"/>
        <n v="115.0"/>
        <n v="333.0"/>
        <n v="111.0"/>
        <n v="64.0"/>
      </sharedItems>
    </cacheField>
    <cacheField name="spirit_servings" numFmtId="0">
      <sharedItems containsSemiMixedTypes="0" containsString="0" containsNumber="1" containsInteger="1">
        <n v="0.0"/>
        <n v="132.0"/>
        <n v="138.0"/>
        <n v="57.0"/>
        <n v="128.0"/>
        <n v="25.0"/>
        <n v="179.0"/>
        <n v="72.0"/>
        <n v="75.0"/>
        <n v="46.0"/>
        <n v="176.0"/>
        <n v="63.0"/>
        <n v="173.0"/>
        <n v="373.0"/>
        <n v="84.0"/>
        <n v="114.0"/>
        <n v="4.0"/>
        <n v="41.0"/>
        <n v="35.0"/>
        <n v="145.0"/>
        <n v="2.0"/>
        <n v="252.0"/>
        <n v="7.0"/>
        <n v="1.0"/>
        <n v="56.0"/>
        <n v="65.0"/>
        <n v="122.0"/>
        <n v="124.0"/>
        <n v="192.0"/>
        <n v="76.0"/>
        <n v="3.0"/>
        <n v="254.0"/>
        <n v="87.0"/>
        <n v="137.0"/>
        <n v="154.0"/>
        <n v="170.0"/>
        <n v="81.0"/>
        <n v="44.0"/>
        <n v="286.0"/>
        <n v="147.0"/>
        <n v="74.0"/>
        <n v="69.0"/>
        <n v="194.0"/>
        <n v="133.0"/>
        <n v="151.0"/>
        <n v="98.0"/>
        <n v="100.0"/>
        <n v="117.0"/>
        <n v="112.0"/>
        <n v="438.0"/>
        <n v="31.0"/>
        <n v="302.0"/>
        <n v="326.0"/>
        <n v="215.0"/>
        <n v="61.0"/>
        <n v="118.0"/>
        <n v="42.0"/>
        <n v="97.0"/>
        <n v="202.0"/>
        <n v="21.0"/>
        <n v="246.0"/>
        <n v="22.0"/>
        <n v="34.0"/>
        <n v="216.0"/>
        <n v="55.0"/>
        <n v="29.0"/>
        <n v="152.0"/>
        <n v="244.0"/>
        <n v="15.0"/>
        <n v="11.0"/>
        <n v="68.0"/>
        <n v="50.0"/>
        <n v="189.0"/>
        <n v="6.0"/>
        <n v="18.0"/>
        <n v="88.0"/>
        <n v="79.0"/>
        <n v="5.0"/>
        <n v="200.0"/>
        <n v="71.0"/>
        <n v="16.0"/>
        <n v="104.0"/>
        <n v="39.0"/>
        <n v="160.0"/>
        <n v="186.0"/>
        <n v="67.0"/>
        <n v="226.0"/>
        <n v="205.0"/>
        <n v="315.0"/>
        <n v="221.0"/>
        <n v="38.0"/>
        <n v="131.0"/>
        <n v="12.0"/>
        <n v="293.0"/>
        <n v="51.0"/>
        <n v="157.0"/>
        <n v="13.0"/>
        <n v="178.0"/>
        <n v="60.0"/>
        <n v="258.0"/>
        <n v="27.0"/>
        <n v="156.0"/>
        <n v="9.0"/>
        <n v="237.0"/>
        <n v="135.0"/>
        <n v="126.0"/>
        <n v="158.0"/>
        <n v="101.0"/>
        <n v="19.0"/>
      </sharedItems>
    </cacheField>
    <cacheField name="wine_servings" numFmtId="0">
      <sharedItems containsSemiMixedTypes="0" containsString="0" containsNumber="1" containsInteger="1">
        <n v="0.0"/>
        <n v="54.0"/>
        <n v="14.0"/>
        <n v="312.0"/>
        <n v="45.0"/>
        <n v="221.0"/>
        <n v="11.0"/>
        <n v="212.0"/>
        <n v="191.0"/>
        <n v="5.0"/>
        <n v="51.0"/>
        <n v="7.0"/>
        <n v="36.0"/>
        <n v="42.0"/>
        <n v="8.0"/>
        <n v="13.0"/>
        <n v="35.0"/>
        <n v="16.0"/>
        <n v="1.0"/>
        <n v="94.0"/>
        <n v="4.0"/>
        <n v="100.0"/>
        <n v="172.0"/>
        <n v="3.0"/>
        <n v="9.0"/>
        <n v="74.0"/>
        <n v="254.0"/>
        <n v="113.0"/>
        <n v="134.0"/>
        <n v="278.0"/>
        <n v="26.0"/>
        <n v="2.0"/>
        <n v="233.0"/>
        <n v="59.0"/>
        <n v="97.0"/>
        <n v="370.0"/>
        <n v="149.0"/>
        <n v="175.0"/>
        <n v="10.0"/>
        <n v="218.0"/>
        <n v="28.0"/>
        <n v="21.0"/>
        <n v="185.0"/>
        <n v="78.0"/>
        <n v="165.0"/>
        <n v="237.0"/>
        <n v="12.0"/>
        <n v="6.0"/>
        <n v="123.0"/>
        <n v="62.0"/>
        <n v="31.0"/>
        <n v="56.0"/>
        <n v="271.0"/>
        <n v="120.0"/>
        <n v="18.0"/>
        <n v="128.0"/>
        <n v="190.0"/>
        <n v="129.0"/>
        <n v="23.0"/>
        <n v="339.0"/>
        <n v="167.0"/>
        <n v="73.0"/>
        <n v="32.0"/>
        <n v="71.0"/>
        <n v="24.0"/>
        <n v="140.0"/>
        <n v="127.0"/>
        <n v="116.0"/>
        <n v="276.0"/>
        <n v="81.0"/>
        <n v="112.0"/>
        <n v="186.0"/>
        <n v="280.0"/>
        <n v="86.0"/>
        <n v="19.0"/>
        <n v="20.0"/>
        <n v="195.0"/>
        <n v="84.0"/>
        <n v="220.0"/>
      </sharedItems>
    </cacheField>
    <cacheField name="total_litres_of_pure_alcohol" numFmtId="0">
      <sharedItems containsSemiMixedTypes="0" containsString="0" containsNumber="1">
        <n v="0.0"/>
        <n v="4.9"/>
        <n v="0.7"/>
        <n v="12.4"/>
        <n v="5.9"/>
        <n v="8.3"/>
        <n v="3.8"/>
        <n v="10.4"/>
        <n v="9.7"/>
        <n v="1.3"/>
        <n v="6.3"/>
        <n v="2.0"/>
        <n v="14.4"/>
        <n v="10.5"/>
        <n v="6.8"/>
        <n v="1.1"/>
        <n v="0.4"/>
        <n v="4.6"/>
        <n v="5.4"/>
        <n v="7.2"/>
        <n v="0.6"/>
        <n v="10.3"/>
        <n v="4.3"/>
        <n v="4.0"/>
        <n v="2.2"/>
        <n v="5.8"/>
        <n v="8.2"/>
        <n v="1.8"/>
        <n v="7.6"/>
        <n v="5.0"/>
        <n v="4.2"/>
        <n v="0.1"/>
        <n v="1.7"/>
        <n v="4.4"/>
        <n v="10.2"/>
        <n v="11.8"/>
        <n v="2.3"/>
        <n v="6.6"/>
        <n v="6.2"/>
        <n v="0.2"/>
        <n v="0.5"/>
        <n v="9.5"/>
        <n v="10.0"/>
        <n v="8.9"/>
        <n v="2.4"/>
        <n v="11.3"/>
        <n v="11.9"/>
        <n v="2.5"/>
        <n v="7.1"/>
        <n v="3.0"/>
        <n v="11.4"/>
        <n v="6.5"/>
        <n v="3.4"/>
        <n v="7.0"/>
        <n v="1.0"/>
        <n v="1.9"/>
        <n v="2.8"/>
        <n v="3.1"/>
        <n v="12.9"/>
        <n v="0.8"/>
        <n v="1.5"/>
        <n v="0.3"/>
        <n v="2.6"/>
        <n v="5.5"/>
        <n v="9.4"/>
        <n v="9.3"/>
        <n v="3.5"/>
        <n v="9.1"/>
        <n v="6.7"/>
        <n v="6.9"/>
        <n v="7.3"/>
        <n v="6.1"/>
        <n v="10.9"/>
        <n v="11.0"/>
        <n v="0.9"/>
        <n v="9.8"/>
        <n v="11.5"/>
        <n v="7.7"/>
        <n v="10.1"/>
        <n v="9.6"/>
        <n v="4.1"/>
        <n v="10.6"/>
        <n v="1.2"/>
        <n v="5.6"/>
        <n v="4.7"/>
        <n v="6.4"/>
        <n v="3.9"/>
        <n v="1.4"/>
        <n v="5.7"/>
        <n v="8.7"/>
      </sharedItems>
    </cacheField>
    <cacheField name="continent" numFmtId="0">
      <sharedItems>
        <s v="AS"/>
        <s v="EU"/>
        <s v="AF"/>
        <s v="NA"/>
        <s v="SA"/>
        <s v="OC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95" sheet="drinks"/>
  </cacheSource>
  <cacheFields>
    <cacheField name="країна" numFmtId="0">
      <sharedItems>
        <s v="country"/>
        <s v="Afghanistan"/>
        <s v="Albania"/>
        <s v="Algeria"/>
        <s v="Andorra"/>
        <s v="Angola"/>
        <s v="Antigua &amp;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-Herzegovina"/>
        <s v="Botswana"/>
        <s v="Brazil"/>
        <s v="Brunei"/>
        <s v="Bulgaria"/>
        <s v="Burkina Faso"/>
        <s v="Burundi"/>
        <s v="Co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 Republic"/>
        <s v="North Korea"/>
        <s v="DR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South Korea"/>
        <s v="Moldova"/>
        <s v="Romania"/>
        <s v="Russian Federation"/>
        <s v="Rwanda"/>
        <s v="St. Kitts &amp; Nevis"/>
        <s v="St. Lucia"/>
        <s v="St. Vincent &amp; the Grenadines"/>
        <s v="Samoa"/>
        <s v="San Marino"/>
        <s v="Sao Tome &amp;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pain"/>
        <s v="Sri Lanka"/>
        <s v="Sudan"/>
        <s v="Suriname"/>
        <s v="Swaziland"/>
        <s v="Sweden"/>
        <s v="Switzerland"/>
        <s v="Syria"/>
        <s v="Tajikistan"/>
        <s v="Thailand"/>
        <s v="Macedonia"/>
        <s v="Timor-Leste"/>
        <s v="Togo"/>
        <s v="Tonga"/>
        <s v="Trinidad &amp; Tobago"/>
        <s v="Tunisia"/>
        <s v="Turkey"/>
        <s v="Turkmenistan"/>
        <s v="Tuvalu"/>
        <s v="Uganda"/>
        <s v="Ukraine"/>
        <s v="United Arab Emirates"/>
        <s v="United Kingdom"/>
        <s v="Tanzania"/>
        <s v="USA"/>
        <s v="Uruguay"/>
        <s v="Uzbekistan"/>
        <s v="Vanuatu"/>
        <s v="Venezuela"/>
        <s v="Vietnam"/>
        <s v="Yemen"/>
        <s v="Zambia"/>
        <s v="Zimbabwe"/>
      </sharedItems>
    </cacheField>
    <cacheField name="порції пива">
      <sharedItems containsMixedTypes="1" containsNumber="1" containsInteger="1">
        <s v="beer_servings"/>
        <n v="0.0"/>
        <n v="89.0"/>
        <n v="25.0"/>
        <n v="245.0"/>
        <n v="217.0"/>
        <n v="102.0"/>
        <n v="193.0"/>
        <n v="21.0"/>
        <n v="261.0"/>
        <n v="279.0"/>
        <n v="122.0"/>
        <n v="42.0"/>
        <n v="143.0"/>
        <n v="142.0"/>
        <n v="295.0"/>
        <n v="263.0"/>
        <n v="34.0"/>
        <n v="23.0"/>
        <n v="167.0"/>
        <n v="76.0"/>
        <n v="173.0"/>
        <n v="31.0"/>
        <n v="231.0"/>
        <n v="88.0"/>
        <n v="37.0"/>
        <n v="144.0"/>
        <n v="57.0"/>
        <n v="147.0"/>
        <n v="240.0"/>
        <n v="17.0"/>
        <n v="15.0"/>
        <n v="130.0"/>
        <n v="79.0"/>
        <n v="159.0"/>
        <n v="1.0"/>
        <n v="149.0"/>
        <n v="230.0"/>
        <n v="93.0"/>
        <n v="192.0"/>
        <n v="361.0"/>
        <n v="32.0"/>
        <n v="224.0"/>
        <n v="52.0"/>
        <n v="162.0"/>
        <n v="6.0"/>
        <n v="92.0"/>
        <n v="18.0"/>
        <n v="20.0"/>
        <n v="77.0"/>
        <n v="127.0"/>
        <n v="347.0"/>
        <n v="8.0"/>
        <n v="346.0"/>
        <n v="133.0"/>
        <n v="199.0"/>
        <n v="53.0"/>
        <n v="9.0"/>
        <n v="28.0"/>
        <n v="69.0"/>
        <n v="234.0"/>
        <n v="233.0"/>
        <n v="5.0"/>
        <n v="313.0"/>
        <n v="63.0"/>
        <n v="85.0"/>
        <n v="82.0"/>
        <n v="124.0"/>
        <n v="58.0"/>
        <n v="62.0"/>
        <n v="281.0"/>
        <n v="19.0"/>
        <n v="343.0"/>
        <n v="236.0"/>
        <n v="26.0"/>
        <n v="13.0"/>
        <n v="98.0"/>
        <n v="238.0"/>
        <n v="12.0"/>
        <n v="47.0"/>
        <n v="376.0"/>
        <n v="49.0"/>
        <n v="251.0"/>
        <n v="203.0"/>
        <n v="78.0"/>
        <n v="3.0"/>
        <n v="188.0"/>
        <n v="169.0"/>
        <n v="22.0"/>
        <n v="306.0"/>
        <n v="285.0"/>
        <n v="44.0"/>
        <n v="213.0"/>
        <n v="163.0"/>
        <n v="71.0"/>
        <n v="194.0"/>
        <n v="140.0"/>
        <n v="109.0"/>
        <n v="297.0"/>
        <n v="247.0"/>
        <n v="43.0"/>
        <n v="171.0"/>
        <n v="120.0"/>
        <n v="105.0"/>
        <n v="56.0"/>
        <n v="283.0"/>
        <n v="157.0"/>
        <n v="60.0"/>
        <n v="196.0"/>
        <n v="270.0"/>
        <n v="225.0"/>
        <n v="284.0"/>
        <n v="16.0"/>
        <n v="128.0"/>
        <n v="90.0"/>
        <n v="152.0"/>
        <n v="185.0"/>
        <n v="2.0"/>
        <n v="99.0"/>
        <n v="106.0"/>
        <n v="36.0"/>
        <n v="197.0"/>
        <n v="51.0"/>
        <n v="45.0"/>
        <n v="206.0"/>
        <n v="219.0"/>
        <n v="249.0"/>
        <n v="115.0"/>
        <n v="333.0"/>
        <n v="111.0"/>
        <n v="64.0"/>
      </sharedItems>
    </cacheField>
    <cacheField name="спиртні напої">
      <sharedItems containsMixedTypes="1" containsNumber="1" containsInteger="1">
        <s v="spirit_servings"/>
        <n v="0.0"/>
        <n v="132.0"/>
        <n v="138.0"/>
        <n v="57.0"/>
        <n v="128.0"/>
        <n v="25.0"/>
        <n v="179.0"/>
        <n v="72.0"/>
        <n v="75.0"/>
        <n v="46.0"/>
        <n v="176.0"/>
        <n v="63.0"/>
        <n v="173.0"/>
        <n v="373.0"/>
        <n v="84.0"/>
        <n v="114.0"/>
        <n v="4.0"/>
        <n v="41.0"/>
        <n v="35.0"/>
        <n v="145.0"/>
        <n v="2.0"/>
        <n v="252.0"/>
        <n v="7.0"/>
        <n v="1.0"/>
        <n v="56.0"/>
        <n v="65.0"/>
        <n v="122.0"/>
        <n v="124.0"/>
        <n v="192.0"/>
        <n v="76.0"/>
        <n v="3.0"/>
        <n v="254.0"/>
        <n v="87.0"/>
        <n v="137.0"/>
        <n v="154.0"/>
        <n v="170.0"/>
        <n v="81.0"/>
        <n v="44.0"/>
        <n v="286.0"/>
        <n v="147.0"/>
        <n v="74.0"/>
        <n v="69.0"/>
        <n v="194.0"/>
        <n v="133.0"/>
        <n v="151.0"/>
        <n v="98.0"/>
        <n v="100.0"/>
        <n v="117.0"/>
        <n v="112.0"/>
        <n v="438.0"/>
        <n v="31.0"/>
        <n v="302.0"/>
        <n v="326.0"/>
        <n v="215.0"/>
        <n v="61.0"/>
        <n v="118.0"/>
        <n v="42.0"/>
        <n v="97.0"/>
        <n v="202.0"/>
        <n v="21.0"/>
        <n v="246.0"/>
        <n v="22.0"/>
        <n v="34.0"/>
        <n v="216.0"/>
        <n v="55.0"/>
        <n v="29.0"/>
        <n v="152.0"/>
        <n v="244.0"/>
        <n v="15.0"/>
        <n v="11.0"/>
        <n v="68.0"/>
        <n v="50.0"/>
        <n v="189.0"/>
        <n v="6.0"/>
        <n v="18.0"/>
        <n v="88.0"/>
        <n v="79.0"/>
        <n v="5.0"/>
        <n v="200.0"/>
        <n v="71.0"/>
        <n v="16.0"/>
        <n v="104.0"/>
        <n v="39.0"/>
        <n v="160.0"/>
        <n v="186.0"/>
        <n v="67.0"/>
        <n v="226.0"/>
        <n v="205.0"/>
        <n v="315.0"/>
        <n v="221.0"/>
        <n v="38.0"/>
        <n v="131.0"/>
        <n v="12.0"/>
        <n v="293.0"/>
        <n v="51.0"/>
        <n v="157.0"/>
        <n v="13.0"/>
        <n v="178.0"/>
        <n v="60.0"/>
        <n v="258.0"/>
        <n v="27.0"/>
        <n v="156.0"/>
        <n v="9.0"/>
        <n v="237.0"/>
        <n v="135.0"/>
        <n v="126.0"/>
        <n v="158.0"/>
        <n v="101.0"/>
        <n v="19.0"/>
      </sharedItems>
    </cacheField>
    <cacheField name="порції вина">
      <sharedItems containsMixedTypes="1" containsNumber="1" containsInteger="1">
        <s v="wine_servings"/>
        <n v="0.0"/>
        <n v="54.0"/>
        <n v="14.0"/>
        <n v="312.0"/>
        <n v="45.0"/>
        <n v="221.0"/>
        <n v="11.0"/>
        <n v="212.0"/>
        <n v="191.0"/>
        <n v="5.0"/>
        <n v="51.0"/>
        <n v="7.0"/>
        <n v="36.0"/>
        <n v="42.0"/>
        <n v="8.0"/>
        <n v="13.0"/>
        <n v="35.0"/>
        <n v="16.0"/>
        <n v="1.0"/>
        <n v="94.0"/>
        <n v="4.0"/>
        <n v="100.0"/>
        <n v="172.0"/>
        <n v="3.0"/>
        <n v="9.0"/>
        <n v="74.0"/>
        <n v="254.0"/>
        <n v="113.0"/>
        <n v="134.0"/>
        <n v="278.0"/>
        <n v="26.0"/>
        <n v="2.0"/>
        <n v="233.0"/>
        <n v="59.0"/>
        <n v="97.0"/>
        <n v="370.0"/>
        <n v="149.0"/>
        <n v="175.0"/>
        <n v="10.0"/>
        <n v="218.0"/>
        <n v="28.0"/>
        <n v="21.0"/>
        <n v="185.0"/>
        <n v="78.0"/>
        <n v="165.0"/>
        <n v="237.0"/>
        <n v="12.0"/>
        <n v="6.0"/>
        <n v="123.0"/>
        <n v="62.0"/>
        <n v="31.0"/>
        <n v="56.0"/>
        <n v="271.0"/>
        <n v="120.0"/>
        <n v="18.0"/>
        <n v="128.0"/>
        <n v="190.0"/>
        <n v="129.0"/>
        <n v="23.0"/>
        <n v="339.0"/>
        <n v="167.0"/>
        <n v="73.0"/>
        <n v="32.0"/>
        <n v="71.0"/>
        <n v="24.0"/>
        <n v="140.0"/>
        <n v="127.0"/>
        <n v="116.0"/>
        <n v="276.0"/>
        <n v="81.0"/>
        <n v="112.0"/>
        <n v="186.0"/>
        <n v="280.0"/>
        <n v="86.0"/>
        <n v="19.0"/>
        <n v="20.0"/>
        <n v="195.0"/>
        <n v="84.0"/>
        <n v="220.0"/>
      </sharedItems>
    </cacheField>
    <cacheField name="загальна кількість літрів чистого спирту">
      <sharedItems containsMixedTypes="1" containsNumber="1">
        <s v="total_litres_of_pure_alcohol"/>
        <n v="0.0"/>
        <n v="4.9"/>
        <n v="0.7"/>
        <n v="12.4"/>
        <n v="5.9"/>
        <n v="8.3"/>
        <n v="3.8"/>
        <n v="10.4"/>
        <n v="9.7"/>
        <n v="1.3"/>
        <n v="6.3"/>
        <n v="2.0"/>
        <n v="14.4"/>
        <n v="10.5"/>
        <n v="6.8"/>
        <n v="1.1"/>
        <n v="0.4"/>
        <n v="4.6"/>
        <n v="5.4"/>
        <n v="7.2"/>
        <n v="0.6"/>
        <n v="10.3"/>
        <n v="4.3"/>
        <n v="4.0"/>
        <n v="2.2"/>
        <n v="5.8"/>
        <n v="8.2"/>
        <n v="1.8"/>
        <n v="7.6"/>
        <n v="5.0"/>
        <n v="4.2"/>
        <n v="0.1"/>
        <n v="1.7"/>
        <n v="4.4"/>
        <n v="10.2"/>
        <n v="11.8"/>
        <n v="2.3"/>
        <n v="6.6"/>
        <n v="6.2"/>
        <n v="0.2"/>
        <n v="0.5"/>
        <n v="9.5"/>
        <n v="10.0"/>
        <n v="8.9"/>
        <n v="2.4"/>
        <n v="11.3"/>
        <n v="11.9"/>
        <n v="2.5"/>
        <n v="7.1"/>
        <n v="3.0"/>
        <n v="11.4"/>
        <n v="6.5"/>
        <n v="3.4"/>
        <n v="7.0"/>
        <n v="1.0"/>
        <n v="1.9"/>
        <n v="2.8"/>
        <n v="3.1"/>
        <n v="12.9"/>
        <n v="0.8"/>
        <n v="1.5"/>
        <n v="0.3"/>
        <n v="2.6"/>
        <n v="5.5"/>
        <n v="9.4"/>
        <n v="9.3"/>
        <n v="3.5"/>
        <n v="9.1"/>
        <n v="6.7"/>
        <n v="6.9"/>
        <n v="7.3"/>
        <n v="6.1"/>
        <n v="10.9"/>
        <n v="11.0"/>
        <n v="0.9"/>
        <n v="9.8"/>
        <n v="11.5"/>
        <n v="7.7"/>
        <n v="10.1"/>
        <n v="9.6"/>
        <n v="4.1"/>
        <n v="10.6"/>
        <n v="1.2"/>
        <n v="5.6"/>
        <n v="4.7"/>
        <n v="6.4"/>
        <n v="3.9"/>
        <n v="1.4"/>
        <n v="5.7"/>
        <n v="8.7"/>
      </sharedItems>
    </cacheField>
    <cacheField name="континент" numFmtId="0">
      <sharedItems>
        <s v="continent"/>
        <s v="AS"/>
        <s v="EU"/>
        <s v="AF"/>
        <s v="NA"/>
        <s v="SA"/>
        <s v="O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Зведена таблиця 5.3)" cacheId="0" dataCaption="" rowGrandTotals="0" compact="0" compactData="0">
  <location ref="A1:C194" firstHeaderRow="0" firstDataRow="2" firstDataCol="0"/>
  <pivotFields>
    <pivotField name="count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8"/>
        <item x="42"/>
        <item x="43"/>
        <item x="44"/>
        <item x="45"/>
        <item x="48"/>
        <item x="49"/>
        <item x="50"/>
        <item x="51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3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46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38"/>
        <item x="160"/>
        <item x="161"/>
        <item x="143"/>
        <item x="144"/>
        <item x="145"/>
        <item x="162"/>
        <item x="163"/>
        <item x="164"/>
        <item x="165"/>
        <item x="166"/>
        <item x="167"/>
        <item x="168"/>
        <item x="183"/>
        <item x="169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5"/>
        <item x="184"/>
        <item x="186"/>
        <item x="187"/>
        <item x="188"/>
        <item x="189"/>
        <item x="190"/>
        <item x="191"/>
        <item x="192"/>
        <item t="default"/>
      </items>
    </pivotField>
    <pivotField name="beer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pirit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wine_serv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total_litres_of_pure_alcoh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 2" compact="0" outline="0" multipleItemSelectionAllowed="1" showAll="0">
      <items>
        <item x="0"/>
        <item x="1"/>
        <item t="default"/>
      </items>
    </pivotField>
    <pivotField name=" 3" compact="0" outline="0" multipleItemSelectionAllowed="1" showAll="0">
      <items>
        <item x="0"/>
        <item x="1"/>
        <item t="default"/>
      </items>
    </pivotField>
    <pivotField name=" 4" compact="0" outline="0" multipleItemSelectionAllowed="1" showAll="0">
      <items>
        <item x="0"/>
        <item x="1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wine_servings" fld="3" baseField="0"/>
    <dataField name="SUM of total_litres_of_pure_alcohol" fld="4" baseField="0"/>
  </dataFields>
</pivotTableDefinition>
</file>

<file path=xl/pivotTables/pivotTable2.xml><?xml version="1.0" encoding="utf-8"?>
<pivotTableDefinition xmlns="http://schemas.openxmlformats.org/spreadsheetml/2006/main" name="Зведена таблиця 5.2)" cacheId="0" dataCaption="" rowGrandTotals="0" compact="0" compactData="0">
  <location ref="A1:C194" firstHeaderRow="0" firstDataRow="2" firstDataCol="0"/>
  <pivotFields>
    <pivotField name="count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8"/>
        <item x="42"/>
        <item x="43"/>
        <item x="44"/>
        <item x="45"/>
        <item x="48"/>
        <item x="49"/>
        <item x="50"/>
        <item x="51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3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46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38"/>
        <item x="160"/>
        <item x="161"/>
        <item x="143"/>
        <item x="144"/>
        <item x="145"/>
        <item x="162"/>
        <item x="163"/>
        <item x="164"/>
        <item x="165"/>
        <item x="166"/>
        <item x="167"/>
        <item x="168"/>
        <item x="183"/>
        <item x="169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5"/>
        <item x="184"/>
        <item x="186"/>
        <item x="187"/>
        <item x="188"/>
        <item x="189"/>
        <item x="190"/>
        <item x="191"/>
        <item x="192"/>
        <item t="default"/>
      </items>
    </pivotField>
    <pivotField name="beer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pirit_serv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wine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total_litres_of_pure_alcoh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 2" compact="0" outline="0" multipleItemSelectionAllowed="1" showAll="0">
      <items>
        <item x="0"/>
        <item x="1"/>
        <item t="default"/>
      </items>
    </pivotField>
    <pivotField name=" 3" compact="0" outline="0" multipleItemSelectionAllowed="1" showAll="0">
      <items>
        <item x="0"/>
        <item x="1"/>
        <item t="default"/>
      </items>
    </pivotField>
    <pivotField name=" 4" compact="0" outline="0" multipleItemSelectionAllowed="1" showAll="0">
      <items>
        <item x="0"/>
        <item x="1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spirit_servings" fld="2" baseField="0"/>
    <dataField name="SUM of total_litres_of_pure_alcohol" fld="4" baseField="0"/>
  </dataFields>
</pivotTableDefinition>
</file>

<file path=xl/pivotTables/pivotTable3.xml><?xml version="1.0" encoding="utf-8"?>
<pivotTableDefinition xmlns="http://schemas.openxmlformats.org/spreadsheetml/2006/main" name="Зведена таблиця 5.1)" cacheId="1" dataCaption="" rowGrandTotals="0" compact="0" compactData="0">
  <location ref="A1:C194" firstHeaderRow="0" firstDataRow="2" firstDataCol="0"/>
  <pivotFields>
    <pivotField name="count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8"/>
        <item x="42"/>
        <item x="43"/>
        <item x="44"/>
        <item x="45"/>
        <item x="48"/>
        <item x="49"/>
        <item x="50"/>
        <item x="51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70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3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46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38"/>
        <item x="160"/>
        <item x="161"/>
        <item x="143"/>
        <item x="144"/>
        <item x="145"/>
        <item x="162"/>
        <item x="163"/>
        <item x="164"/>
        <item x="165"/>
        <item x="166"/>
        <item x="167"/>
        <item x="168"/>
        <item x="183"/>
        <item x="169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5"/>
        <item x="184"/>
        <item x="186"/>
        <item x="187"/>
        <item x="188"/>
        <item x="189"/>
        <item x="190"/>
        <item x="191"/>
        <item x="192"/>
        <item t="default"/>
      </items>
    </pivotField>
    <pivotField name="beer_serv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pirit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wine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total_litres_of_pure_alcoh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-2"/>
  </colFields>
  <dataFields>
    <dataField name="SUM of beer_servings" fld="1" baseField="0"/>
    <dataField name="SUM of total_litres_of_pure_alcohol" fld="4" baseField="0"/>
  </dataFields>
</pivotTableDefinition>
</file>

<file path=xl/pivotTables/pivotTable4.xml><?xml version="1.0" encoding="utf-8"?>
<pivotTableDefinition xmlns="http://schemas.openxmlformats.org/spreadsheetml/2006/main" name="Зведена таблиця 4)" cacheId="2" dataCaption="" rowGrandTotals="0" compact="0" compactData="0">
  <location ref="A1:B46" firstHeaderRow="0" firstDataRow="1" firstDataCol="0"/>
  <pivotFields>
    <pivotField name="країна" axis="axisRow" compact="0" outline="0" multipleItemSelectionAllowed="1" showAll="0" sortType="descending">
      <items>
        <item x="29"/>
        <item x="17"/>
        <item x="25"/>
        <item x="14"/>
        <item x="23"/>
        <item x="32"/>
        <item x="39"/>
        <item x="20"/>
        <item x="1"/>
        <item x="28"/>
        <item x="34"/>
        <item x="33"/>
        <item x="13"/>
        <item x="18"/>
        <item x="7"/>
        <item x="0"/>
        <item x="9"/>
        <item x="12"/>
        <item x="4"/>
        <item x="38"/>
        <item x="43"/>
        <item x="31"/>
        <item x="10"/>
        <item x="37"/>
        <item x="11"/>
        <item x="36"/>
        <item x="16"/>
        <item x="35"/>
        <item x="8"/>
        <item x="41"/>
        <item x="22"/>
        <item x="19"/>
        <item x="27"/>
        <item x="40"/>
        <item x="15"/>
        <item x="24"/>
        <item x="26"/>
        <item x="5"/>
        <item x="30"/>
        <item x="44"/>
        <item x="2"/>
        <item x="21"/>
        <item x="3"/>
        <item x="42"/>
        <item x="6"/>
        <item t="default"/>
      </items>
    </pivotField>
    <pivotField name="порції пив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спиртні напої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рції вин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загальна кількість літрів чистого спирту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нтинент" compact="0" outline="0" multipleItemSelectionAllowed="1" showAll="0">
      <items>
        <item x="0"/>
        <item t="default"/>
      </items>
    </pivotField>
  </pivotFields>
  <rowFields>
    <field x="0"/>
  </rowFields>
  <dataFields>
    <dataField name="SUM of порції пива" fld="1" baseField="0"/>
  </dataFields>
</pivotTableDefinition>
</file>

<file path=xl/pivotTables/pivotTable5.xml><?xml version="1.0" encoding="utf-8"?>
<pivotTableDefinition xmlns="http://schemas.openxmlformats.org/spreadsheetml/2006/main" name="Зведена таблиця 3)" cacheId="3" dataCaption="" rowGrandTotals="0" compact="0" compactData="0">
  <location ref="A1:B7" firstHeaderRow="0" firstDataRow="1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beer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pirit_serv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wine_serv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total_litres_of_pure_alcoh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continent" axis="axisRow" compact="0" outline="0" multipleItemSelectionAllowed="1" showAll="0" sortType="ascending">
      <items>
        <item x="2"/>
        <item x="0"/>
        <item x="1"/>
        <item x="3"/>
        <item x="5"/>
        <item x="4"/>
        <item t="default"/>
      </items>
    </pivotField>
  </pivotFields>
  <rowFields>
    <field x="5"/>
  </rowFields>
  <dataFields>
    <dataField name="SUM of wine_servings" fld="3" baseField="0"/>
  </dataFields>
</pivotTableDefinition>
</file>

<file path=xl/pivotTables/pivotTable6.xml><?xml version="1.0" encoding="utf-8"?>
<pivotTableDefinition xmlns="http://schemas.openxmlformats.org/spreadsheetml/2006/main" name="Зведена таблиця 2)" cacheId="2" dataCaption="" rowGrandTotals="0" compact="0" compactData="0">
  <location ref="A1:B46" firstHeaderRow="0" firstDataRow="1" firstDataCol="0"/>
  <pivotFields>
    <pivotField name="країна" axis="axisRow" compact="0" outline="0" multipleItemSelectionAllowed="1" showAll="0" sortType="ascending">
      <items>
        <item x="6"/>
        <item x="42"/>
        <item x="3"/>
        <item x="21"/>
        <item x="2"/>
        <item x="44"/>
        <item x="30"/>
        <item x="5"/>
        <item x="26"/>
        <item x="24"/>
        <item x="15"/>
        <item x="40"/>
        <item x="27"/>
        <item x="19"/>
        <item x="22"/>
        <item x="41"/>
        <item x="8"/>
        <item x="35"/>
        <item x="16"/>
        <item x="36"/>
        <item x="11"/>
        <item x="37"/>
        <item x="10"/>
        <item x="31"/>
        <item x="43"/>
        <item x="38"/>
        <item x="4"/>
        <item x="12"/>
        <item x="9"/>
        <item x="0"/>
        <item x="7"/>
        <item x="18"/>
        <item x="13"/>
        <item x="33"/>
        <item x="34"/>
        <item x="28"/>
        <item x="1"/>
        <item x="20"/>
        <item x="39"/>
        <item x="32"/>
        <item x="23"/>
        <item x="14"/>
        <item x="25"/>
        <item x="17"/>
        <item x="29"/>
        <item t="default"/>
      </items>
    </pivotField>
    <pivotField name="порції пив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спиртні напої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порції вин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загальна кількість літрів чистого спирту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континент" compact="0" outline="0" multipleItemSelectionAllowed="1" showAll="0">
      <items>
        <item x="0"/>
        <item t="default"/>
      </items>
    </pivotField>
  </pivotFields>
  <rowFields>
    <field x="0"/>
  </rowFields>
  <dataFields>
    <dataField name="SUM of загальна кількість літрів чистого спирту" fld="4" baseField="0"/>
  </dataFields>
</pivotTableDefinition>
</file>

<file path=xl/pivotTables/pivotTable7.xml><?xml version="1.0" encoding="utf-8"?>
<pivotTableDefinition xmlns="http://schemas.openxmlformats.org/spreadsheetml/2006/main" name="Зведена таблиця 1)" cacheId="4" dataCaption="" rowGrandTotals="0" compact="0" compactData="0">
  <location ref="A1:B195" firstHeaderRow="0" firstDataRow="1" firstDataCol="0"/>
  <pivotFields>
    <pivotField name="країна" axis="axisRow" compact="0" outline="0" multipleItemSelectionAllowed="1" showAll="0" sortType="ascending">
      <items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29"/>
        <item x="0"/>
        <item x="43"/>
        <item x="44"/>
        <item x="45"/>
        <item x="46"/>
        <item x="49"/>
        <item x="50"/>
        <item x="51"/>
        <item x="52"/>
        <item x="48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7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4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47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1"/>
        <item x="142"/>
        <item x="143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39"/>
        <item x="161"/>
        <item x="162"/>
        <item x="144"/>
        <item x="145"/>
        <item x="146"/>
        <item x="163"/>
        <item x="164"/>
        <item x="165"/>
        <item x="166"/>
        <item x="167"/>
        <item x="168"/>
        <item x="169"/>
        <item x="184"/>
        <item x="170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6"/>
        <item x="185"/>
        <item x="187"/>
        <item x="188"/>
        <item x="189"/>
        <item x="190"/>
        <item x="191"/>
        <item x="192"/>
        <item x="193"/>
        <item t="default"/>
      </items>
    </pivotField>
    <pivotField name="порції пив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спиртні напої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порції вин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загальна кількість літрів чистого спирту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континент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dataFields>
    <dataField name="SUM of загальна кількість літрів чистого спирту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>
      <c r="A2" s="1" t="s">
        <v>4</v>
      </c>
      <c r="B2" s="1" t="s">
        <v>6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>
        <v>0.0</v>
      </c>
      <c r="C3" s="1">
        <v>0.0</v>
      </c>
      <c r="D3" s="1">
        <v>0.0</v>
      </c>
      <c r="E3" s="1">
        <v>0.0</v>
      </c>
      <c r="F3" s="1" t="s">
        <v>14</v>
      </c>
    </row>
    <row r="4">
      <c r="A4" s="1" t="s">
        <v>15</v>
      </c>
      <c r="B4" s="1">
        <v>89.0</v>
      </c>
      <c r="C4" s="1">
        <v>132.0</v>
      </c>
      <c r="D4" s="1">
        <v>54.0</v>
      </c>
      <c r="E4" s="1">
        <v>4.9</v>
      </c>
      <c r="F4" s="1" t="s">
        <v>16</v>
      </c>
    </row>
    <row r="5">
      <c r="A5" s="1" t="s">
        <v>17</v>
      </c>
      <c r="B5" s="1">
        <v>25.0</v>
      </c>
      <c r="C5" s="1">
        <v>0.0</v>
      </c>
      <c r="D5" s="1">
        <v>14.0</v>
      </c>
      <c r="E5" s="1">
        <v>0.7</v>
      </c>
      <c r="F5" s="1" t="s">
        <v>18</v>
      </c>
    </row>
    <row r="6">
      <c r="A6" s="1" t="s">
        <v>20</v>
      </c>
      <c r="B6" s="1">
        <v>245.0</v>
      </c>
      <c r="C6" s="1">
        <v>138.0</v>
      </c>
      <c r="D6" s="1">
        <v>312.0</v>
      </c>
      <c r="E6" s="1">
        <v>12.4</v>
      </c>
      <c r="F6" s="1" t="s">
        <v>16</v>
      </c>
    </row>
    <row r="7">
      <c r="A7" s="1" t="s">
        <v>21</v>
      </c>
      <c r="B7" s="1">
        <v>217.0</v>
      </c>
      <c r="C7" s="1">
        <v>57.0</v>
      </c>
      <c r="D7" s="1">
        <v>45.0</v>
      </c>
      <c r="E7" s="1">
        <v>5.9</v>
      </c>
      <c r="F7" s="1" t="s">
        <v>18</v>
      </c>
    </row>
    <row r="8">
      <c r="A8" s="1" t="s">
        <v>22</v>
      </c>
      <c r="B8" s="1">
        <v>102.0</v>
      </c>
      <c r="C8" s="1">
        <v>128.0</v>
      </c>
      <c r="D8" s="1">
        <v>45.0</v>
      </c>
      <c r="E8" s="1">
        <v>4.9</v>
      </c>
      <c r="F8" s="1" t="s">
        <v>23</v>
      </c>
    </row>
    <row r="9">
      <c r="A9" s="1" t="s">
        <v>24</v>
      </c>
      <c r="B9" s="1">
        <v>193.0</v>
      </c>
      <c r="C9" s="1">
        <v>25.0</v>
      </c>
      <c r="D9" s="1">
        <v>221.0</v>
      </c>
      <c r="E9" s="1">
        <v>8.3</v>
      </c>
      <c r="F9" s="1" t="s">
        <v>25</v>
      </c>
    </row>
    <row r="10">
      <c r="A10" s="1" t="s">
        <v>26</v>
      </c>
      <c r="B10" s="1">
        <v>21.0</v>
      </c>
      <c r="C10" s="1">
        <v>179.0</v>
      </c>
      <c r="D10" s="1">
        <v>11.0</v>
      </c>
      <c r="E10" s="1">
        <v>3.8</v>
      </c>
      <c r="F10" s="1" t="s">
        <v>16</v>
      </c>
    </row>
    <row r="11">
      <c r="A11" s="1" t="s">
        <v>27</v>
      </c>
      <c r="B11" s="1">
        <v>261.0</v>
      </c>
      <c r="C11" s="1">
        <v>72.0</v>
      </c>
      <c r="D11" s="1">
        <v>212.0</v>
      </c>
      <c r="E11" s="1">
        <v>10.4</v>
      </c>
      <c r="F11" s="1" t="s">
        <v>28</v>
      </c>
    </row>
    <row r="12">
      <c r="A12" s="1" t="s">
        <v>29</v>
      </c>
      <c r="B12" s="1">
        <v>279.0</v>
      </c>
      <c r="C12" s="1">
        <v>75.0</v>
      </c>
      <c r="D12" s="1">
        <v>191.0</v>
      </c>
      <c r="E12" s="1">
        <v>9.7</v>
      </c>
      <c r="F12" s="1" t="s">
        <v>16</v>
      </c>
    </row>
    <row r="13">
      <c r="A13" s="1" t="s">
        <v>30</v>
      </c>
      <c r="B13" s="1">
        <v>21.0</v>
      </c>
      <c r="C13" s="1">
        <v>46.0</v>
      </c>
      <c r="D13" s="1">
        <v>5.0</v>
      </c>
      <c r="E13" s="1">
        <v>1.3</v>
      </c>
      <c r="F13" s="1" t="s">
        <v>16</v>
      </c>
    </row>
    <row r="14">
      <c r="A14" s="1" t="s">
        <v>31</v>
      </c>
      <c r="B14" s="1">
        <v>122.0</v>
      </c>
      <c r="C14" s="1">
        <v>176.0</v>
      </c>
      <c r="D14" s="1">
        <v>51.0</v>
      </c>
      <c r="E14" s="1">
        <v>6.3</v>
      </c>
      <c r="F14" s="1" t="s">
        <v>23</v>
      </c>
    </row>
    <row r="15">
      <c r="A15" s="1" t="s">
        <v>33</v>
      </c>
      <c r="B15" s="1">
        <v>42.0</v>
      </c>
      <c r="C15" s="1">
        <v>63.0</v>
      </c>
      <c r="D15" s="1">
        <v>7.0</v>
      </c>
      <c r="E15" s="1">
        <v>2.0</v>
      </c>
      <c r="F15" s="1" t="s">
        <v>14</v>
      </c>
    </row>
    <row r="16">
      <c r="A16" s="1" t="s">
        <v>34</v>
      </c>
      <c r="B16" s="1">
        <v>0.0</v>
      </c>
      <c r="C16" s="1">
        <v>0.0</v>
      </c>
      <c r="D16" s="1">
        <v>0.0</v>
      </c>
      <c r="E16" s="1">
        <v>0.0</v>
      </c>
      <c r="F16" s="1" t="s">
        <v>14</v>
      </c>
    </row>
    <row r="17">
      <c r="A17" s="1" t="s">
        <v>35</v>
      </c>
      <c r="B17" s="1">
        <v>143.0</v>
      </c>
      <c r="C17" s="1">
        <v>173.0</v>
      </c>
      <c r="D17" s="1">
        <v>36.0</v>
      </c>
      <c r="E17" s="1">
        <v>6.3</v>
      </c>
      <c r="F17" s="1" t="s">
        <v>23</v>
      </c>
    </row>
    <row r="18">
      <c r="A18" s="1" t="s">
        <v>36</v>
      </c>
      <c r="B18" s="1">
        <v>142.0</v>
      </c>
      <c r="C18" s="1">
        <v>373.0</v>
      </c>
      <c r="D18" s="1">
        <v>42.0</v>
      </c>
      <c r="E18" s="1">
        <v>14.4</v>
      </c>
      <c r="F18" s="1" t="s">
        <v>16</v>
      </c>
    </row>
    <row r="19">
      <c r="A19" s="1" t="s">
        <v>37</v>
      </c>
      <c r="B19" s="1">
        <v>295.0</v>
      </c>
      <c r="C19" s="1">
        <v>84.0</v>
      </c>
      <c r="D19" s="1">
        <v>212.0</v>
      </c>
      <c r="E19" s="1">
        <v>10.5</v>
      </c>
      <c r="F19" s="1" t="s">
        <v>16</v>
      </c>
    </row>
    <row r="20">
      <c r="A20" s="1" t="s">
        <v>38</v>
      </c>
      <c r="B20" s="1">
        <v>263.0</v>
      </c>
      <c r="C20" s="1">
        <v>114.0</v>
      </c>
      <c r="D20" s="1">
        <v>8.0</v>
      </c>
      <c r="E20" s="1">
        <v>6.8</v>
      </c>
      <c r="F20" s="1" t="s">
        <v>23</v>
      </c>
    </row>
    <row r="21">
      <c r="A21" s="1" t="s">
        <v>39</v>
      </c>
      <c r="B21" s="1">
        <v>34.0</v>
      </c>
      <c r="C21" s="1">
        <v>4.0</v>
      </c>
      <c r="D21" s="1">
        <v>13.0</v>
      </c>
      <c r="E21" s="1">
        <v>1.1</v>
      </c>
      <c r="F21" s="1" t="s">
        <v>18</v>
      </c>
    </row>
    <row r="22">
      <c r="A22" s="1" t="s">
        <v>40</v>
      </c>
      <c r="B22" s="1">
        <v>23.0</v>
      </c>
      <c r="C22" s="1">
        <v>0.0</v>
      </c>
      <c r="D22" s="1">
        <v>0.0</v>
      </c>
      <c r="E22" s="1">
        <v>0.4</v>
      </c>
      <c r="F22" s="1" t="s">
        <v>14</v>
      </c>
    </row>
    <row r="23">
      <c r="A23" s="1" t="s">
        <v>41</v>
      </c>
      <c r="B23" s="1">
        <v>167.0</v>
      </c>
      <c r="C23" s="1">
        <v>41.0</v>
      </c>
      <c r="D23" s="1">
        <v>8.0</v>
      </c>
      <c r="E23" s="1">
        <v>3.8</v>
      </c>
      <c r="F23" s="1" t="s">
        <v>25</v>
      </c>
    </row>
    <row r="24">
      <c r="A24" s="1" t="s">
        <v>42</v>
      </c>
      <c r="B24" s="1">
        <v>76.0</v>
      </c>
      <c r="C24" s="1">
        <v>173.0</v>
      </c>
      <c r="D24" s="1">
        <v>8.0</v>
      </c>
      <c r="E24" s="1">
        <v>4.6</v>
      </c>
      <c r="F24" s="1" t="s">
        <v>16</v>
      </c>
    </row>
    <row r="25">
      <c r="A25" s="1" t="s">
        <v>43</v>
      </c>
      <c r="B25" s="1">
        <v>173.0</v>
      </c>
      <c r="C25" s="1">
        <v>35.0</v>
      </c>
      <c r="D25" s="1">
        <v>35.0</v>
      </c>
      <c r="E25" s="1">
        <v>5.4</v>
      </c>
      <c r="F25" s="1" t="s">
        <v>18</v>
      </c>
    </row>
    <row r="26">
      <c r="A26" s="1" t="s">
        <v>44</v>
      </c>
      <c r="B26" s="1">
        <v>245.0</v>
      </c>
      <c r="C26" s="1">
        <v>145.0</v>
      </c>
      <c r="D26" s="1">
        <v>16.0</v>
      </c>
      <c r="E26" s="1">
        <v>7.2</v>
      </c>
      <c r="F26" s="1" t="s">
        <v>25</v>
      </c>
    </row>
    <row r="27">
      <c r="A27" s="1" t="s">
        <v>45</v>
      </c>
      <c r="B27" s="1">
        <v>31.0</v>
      </c>
      <c r="C27" s="1">
        <v>2.0</v>
      </c>
      <c r="D27" s="1">
        <v>1.0</v>
      </c>
      <c r="E27" s="1">
        <v>0.6</v>
      </c>
      <c r="F27" s="1" t="s">
        <v>14</v>
      </c>
    </row>
    <row r="28">
      <c r="A28" s="1" t="s">
        <v>46</v>
      </c>
      <c r="B28" s="1">
        <v>231.0</v>
      </c>
      <c r="C28" s="1">
        <v>252.0</v>
      </c>
      <c r="D28" s="1">
        <v>94.0</v>
      </c>
      <c r="E28" s="1">
        <v>10.3</v>
      </c>
      <c r="F28" s="1" t="s">
        <v>16</v>
      </c>
    </row>
    <row r="29">
      <c r="A29" s="1" t="s">
        <v>47</v>
      </c>
      <c r="B29" s="1">
        <v>25.0</v>
      </c>
      <c r="C29" s="1">
        <v>7.0</v>
      </c>
      <c r="D29" s="1">
        <v>7.0</v>
      </c>
      <c r="E29" s="1">
        <v>4.3</v>
      </c>
      <c r="F29" s="1" t="s">
        <v>18</v>
      </c>
    </row>
    <row r="30">
      <c r="A30" s="1" t="s">
        <v>48</v>
      </c>
      <c r="B30" s="1">
        <v>88.0</v>
      </c>
      <c r="C30" s="1">
        <v>0.0</v>
      </c>
      <c r="D30" s="1">
        <v>0.0</v>
      </c>
      <c r="E30" s="1">
        <v>6.3</v>
      </c>
      <c r="F30" s="1" t="s">
        <v>18</v>
      </c>
    </row>
    <row r="31">
      <c r="A31" s="1" t="s">
        <v>49</v>
      </c>
      <c r="B31" s="1">
        <v>37.0</v>
      </c>
      <c r="C31" s="1">
        <v>1.0</v>
      </c>
      <c r="D31" s="1">
        <v>7.0</v>
      </c>
      <c r="E31" s="1">
        <v>4.0</v>
      </c>
      <c r="F31" s="1" t="s">
        <v>18</v>
      </c>
    </row>
    <row r="32">
      <c r="A32" s="1" t="s">
        <v>50</v>
      </c>
      <c r="B32" s="1">
        <v>144.0</v>
      </c>
      <c r="C32" s="1">
        <v>56.0</v>
      </c>
      <c r="D32" s="1">
        <v>16.0</v>
      </c>
      <c r="E32" s="1">
        <v>4.0</v>
      </c>
      <c r="F32" s="1" t="s">
        <v>18</v>
      </c>
    </row>
    <row r="33">
      <c r="A33" s="1" t="s">
        <v>51</v>
      </c>
      <c r="B33" s="1">
        <v>57.0</v>
      </c>
      <c r="C33" s="1">
        <v>65.0</v>
      </c>
      <c r="D33" s="1">
        <v>1.0</v>
      </c>
      <c r="E33" s="1">
        <v>2.2</v>
      </c>
      <c r="F33" s="1" t="s">
        <v>14</v>
      </c>
    </row>
    <row r="34">
      <c r="A34" s="1" t="s">
        <v>52</v>
      </c>
      <c r="B34" s="1">
        <v>147.0</v>
      </c>
      <c r="C34" s="1">
        <v>1.0</v>
      </c>
      <c r="D34" s="1">
        <v>4.0</v>
      </c>
      <c r="E34" s="1">
        <v>5.8</v>
      </c>
      <c r="F34" s="1" t="s">
        <v>18</v>
      </c>
    </row>
    <row r="35">
      <c r="A35" s="1" t="s">
        <v>53</v>
      </c>
      <c r="B35" s="1">
        <v>240.0</v>
      </c>
      <c r="C35" s="1">
        <v>122.0</v>
      </c>
      <c r="D35" s="1">
        <v>100.0</v>
      </c>
      <c r="E35" s="1">
        <v>8.2</v>
      </c>
      <c r="F35" s="1" t="s">
        <v>23</v>
      </c>
    </row>
    <row r="36">
      <c r="A36" s="1" t="s">
        <v>54</v>
      </c>
      <c r="B36" s="1">
        <v>17.0</v>
      </c>
      <c r="C36" s="1">
        <v>2.0</v>
      </c>
      <c r="D36" s="1">
        <v>1.0</v>
      </c>
      <c r="E36" s="1">
        <v>1.8</v>
      </c>
      <c r="F36" s="1" t="s">
        <v>18</v>
      </c>
      <c r="H36" s="1"/>
    </row>
    <row r="37">
      <c r="A37" s="1" t="s">
        <v>55</v>
      </c>
      <c r="B37" s="1">
        <v>15.0</v>
      </c>
      <c r="C37" s="1">
        <v>1.0</v>
      </c>
      <c r="D37" s="1">
        <v>1.0</v>
      </c>
      <c r="E37" s="1">
        <v>0.4</v>
      </c>
      <c r="F37" s="1" t="s">
        <v>18</v>
      </c>
    </row>
    <row r="38">
      <c r="A38" s="1" t="s">
        <v>56</v>
      </c>
      <c r="B38" s="1">
        <v>130.0</v>
      </c>
      <c r="C38" s="1">
        <v>124.0</v>
      </c>
      <c r="D38" s="1">
        <v>172.0</v>
      </c>
      <c r="E38" s="1">
        <v>7.6</v>
      </c>
      <c r="F38" s="1" t="s">
        <v>25</v>
      </c>
    </row>
    <row r="39">
      <c r="A39" s="1" t="s">
        <v>57</v>
      </c>
      <c r="B39" s="1">
        <v>79.0</v>
      </c>
      <c r="C39" s="1">
        <v>192.0</v>
      </c>
      <c r="D39" s="1">
        <v>8.0</v>
      </c>
      <c r="E39" s="1">
        <v>5.0</v>
      </c>
      <c r="F39" s="1" t="s">
        <v>14</v>
      </c>
    </row>
    <row r="40">
      <c r="A40" s="1" t="s">
        <v>58</v>
      </c>
      <c r="B40" s="1">
        <v>159.0</v>
      </c>
      <c r="C40" s="1">
        <v>76.0</v>
      </c>
      <c r="D40" s="1">
        <v>3.0</v>
      </c>
      <c r="E40" s="1">
        <v>4.2</v>
      </c>
      <c r="F40" s="1" t="s">
        <v>25</v>
      </c>
    </row>
    <row r="41">
      <c r="A41" s="1" t="s">
        <v>59</v>
      </c>
      <c r="B41" s="1">
        <v>1.0</v>
      </c>
      <c r="C41" s="1">
        <v>3.0</v>
      </c>
      <c r="D41" s="1">
        <v>1.0</v>
      </c>
      <c r="E41" s="1">
        <v>0.1</v>
      </c>
      <c r="F41" s="1" t="s">
        <v>18</v>
      </c>
    </row>
    <row r="42">
      <c r="A42" s="1" t="s">
        <v>60</v>
      </c>
      <c r="B42" s="1">
        <v>76.0</v>
      </c>
      <c r="C42" s="1">
        <v>1.0</v>
      </c>
      <c r="D42" s="1">
        <v>9.0</v>
      </c>
      <c r="E42" s="1">
        <v>1.7</v>
      </c>
      <c r="F42" s="1" t="s">
        <v>18</v>
      </c>
    </row>
    <row r="43">
      <c r="A43" s="1" t="s">
        <v>61</v>
      </c>
      <c r="B43" s="1">
        <v>0.0</v>
      </c>
      <c r="C43" s="1">
        <v>254.0</v>
      </c>
      <c r="D43" s="1">
        <v>74.0</v>
      </c>
      <c r="E43" s="1">
        <v>5.9</v>
      </c>
      <c r="F43" s="1" t="s">
        <v>28</v>
      </c>
    </row>
    <row r="44">
      <c r="A44" s="1" t="s">
        <v>62</v>
      </c>
      <c r="B44" s="1">
        <v>149.0</v>
      </c>
      <c r="C44" s="1">
        <v>87.0</v>
      </c>
      <c r="D44" s="1">
        <v>11.0</v>
      </c>
      <c r="E44" s="1">
        <v>4.4</v>
      </c>
      <c r="F44" s="1" t="s">
        <v>23</v>
      </c>
    </row>
    <row r="45">
      <c r="A45" s="1" t="s">
        <v>63</v>
      </c>
      <c r="B45" s="1">
        <v>230.0</v>
      </c>
      <c r="C45" s="1">
        <v>87.0</v>
      </c>
      <c r="D45" s="1">
        <v>254.0</v>
      </c>
      <c r="E45" s="1">
        <v>10.2</v>
      </c>
      <c r="F45" s="1" t="s">
        <v>16</v>
      </c>
    </row>
    <row r="46">
      <c r="A46" s="1" t="s">
        <v>64</v>
      </c>
      <c r="B46" s="1">
        <v>93.0</v>
      </c>
      <c r="C46" s="1">
        <v>137.0</v>
      </c>
      <c r="D46" s="1">
        <v>5.0</v>
      </c>
      <c r="E46" s="1">
        <v>4.2</v>
      </c>
      <c r="F46" s="1" t="s">
        <v>23</v>
      </c>
    </row>
    <row r="47">
      <c r="A47" s="1" t="s">
        <v>65</v>
      </c>
      <c r="B47" s="1">
        <v>192.0</v>
      </c>
      <c r="C47" s="1">
        <v>154.0</v>
      </c>
      <c r="D47" s="1">
        <v>113.0</v>
      </c>
      <c r="E47" s="1">
        <v>8.2</v>
      </c>
      <c r="F47" s="1" t="s">
        <v>16</v>
      </c>
    </row>
    <row r="48">
      <c r="A48" s="1" t="s">
        <v>66</v>
      </c>
      <c r="B48" s="1">
        <v>361.0</v>
      </c>
      <c r="C48" s="1">
        <v>170.0</v>
      </c>
      <c r="D48" s="1">
        <v>134.0</v>
      </c>
      <c r="E48" s="1">
        <v>11.8</v>
      </c>
      <c r="F48" s="1" t="s">
        <v>16</v>
      </c>
    </row>
    <row r="49">
      <c r="A49" s="1" t="s">
        <v>67</v>
      </c>
      <c r="B49" s="1">
        <v>0.0</v>
      </c>
      <c r="C49" s="1">
        <v>0.0</v>
      </c>
      <c r="D49" s="1">
        <v>0.0</v>
      </c>
      <c r="E49" s="1">
        <v>0.0</v>
      </c>
      <c r="F49" s="1" t="s">
        <v>14</v>
      </c>
    </row>
    <row r="50">
      <c r="A50" s="1" t="s">
        <v>68</v>
      </c>
      <c r="B50" s="1">
        <v>32.0</v>
      </c>
      <c r="C50" s="1">
        <v>3.0</v>
      </c>
      <c r="D50" s="1">
        <v>1.0</v>
      </c>
      <c r="E50" s="1">
        <v>2.3</v>
      </c>
      <c r="F50" s="1" t="s">
        <v>18</v>
      </c>
    </row>
    <row r="51">
      <c r="A51" s="1" t="s">
        <v>69</v>
      </c>
      <c r="B51" s="1">
        <v>224.0</v>
      </c>
      <c r="C51" s="1">
        <v>81.0</v>
      </c>
      <c r="D51" s="1">
        <v>278.0</v>
      </c>
      <c r="E51" s="1">
        <v>10.4</v>
      </c>
      <c r="F51" s="1" t="s">
        <v>16</v>
      </c>
    </row>
    <row r="52">
      <c r="A52" s="1" t="s">
        <v>70</v>
      </c>
      <c r="B52" s="1">
        <v>15.0</v>
      </c>
      <c r="C52" s="1">
        <v>44.0</v>
      </c>
      <c r="D52" s="1">
        <v>3.0</v>
      </c>
      <c r="E52" s="1">
        <v>1.1</v>
      </c>
      <c r="F52" s="1" t="s">
        <v>18</v>
      </c>
    </row>
    <row r="53">
      <c r="A53" s="1" t="s">
        <v>71</v>
      </c>
      <c r="B53" s="1">
        <v>52.0</v>
      </c>
      <c r="C53" s="1">
        <v>286.0</v>
      </c>
      <c r="D53" s="1">
        <v>26.0</v>
      </c>
      <c r="E53" s="1">
        <v>6.6</v>
      </c>
      <c r="F53" s="1" t="s">
        <v>23</v>
      </c>
    </row>
    <row r="54">
      <c r="A54" s="1" t="s">
        <v>72</v>
      </c>
      <c r="B54" s="1">
        <v>193.0</v>
      </c>
      <c r="C54" s="1">
        <v>147.0</v>
      </c>
      <c r="D54" s="1">
        <v>9.0</v>
      </c>
      <c r="E54" s="1">
        <v>6.2</v>
      </c>
      <c r="F54" s="1" t="s">
        <v>23</v>
      </c>
    </row>
    <row r="55">
      <c r="A55" s="1" t="s">
        <v>73</v>
      </c>
      <c r="B55" s="1">
        <v>162.0</v>
      </c>
      <c r="C55" s="1">
        <v>74.0</v>
      </c>
      <c r="D55" s="1">
        <v>3.0</v>
      </c>
      <c r="E55" s="1">
        <v>4.2</v>
      </c>
      <c r="F55" s="1" t="s">
        <v>25</v>
      </c>
    </row>
    <row r="56">
      <c r="A56" s="1" t="s">
        <v>74</v>
      </c>
      <c r="B56" s="1">
        <v>6.0</v>
      </c>
      <c r="C56" s="1">
        <v>4.0</v>
      </c>
      <c r="D56" s="1">
        <v>1.0</v>
      </c>
      <c r="E56" s="1">
        <v>0.2</v>
      </c>
      <c r="F56" s="1" t="s">
        <v>18</v>
      </c>
    </row>
    <row r="57">
      <c r="A57" s="1" t="s">
        <v>75</v>
      </c>
      <c r="B57" s="1">
        <v>52.0</v>
      </c>
      <c r="C57" s="1">
        <v>69.0</v>
      </c>
      <c r="D57" s="1">
        <v>2.0</v>
      </c>
      <c r="E57" s="1">
        <v>2.2</v>
      </c>
      <c r="F57" s="1" t="s">
        <v>23</v>
      </c>
    </row>
    <row r="58">
      <c r="A58" s="1" t="s">
        <v>76</v>
      </c>
      <c r="B58" s="1">
        <v>92.0</v>
      </c>
      <c r="C58" s="1">
        <v>0.0</v>
      </c>
      <c r="D58" s="1">
        <v>233.0</v>
      </c>
      <c r="E58" s="1">
        <v>5.8</v>
      </c>
      <c r="F58" s="1" t="s">
        <v>18</v>
      </c>
    </row>
    <row r="59">
      <c r="A59" s="1" t="s">
        <v>77</v>
      </c>
      <c r="B59" s="1">
        <v>18.0</v>
      </c>
      <c r="C59" s="1">
        <v>0.0</v>
      </c>
      <c r="D59" s="1">
        <v>0.0</v>
      </c>
      <c r="E59" s="1">
        <v>0.5</v>
      </c>
      <c r="F59" s="1" t="s">
        <v>18</v>
      </c>
    </row>
    <row r="60">
      <c r="A60" s="1" t="s">
        <v>78</v>
      </c>
      <c r="B60" s="1">
        <v>224.0</v>
      </c>
      <c r="C60" s="1">
        <v>194.0</v>
      </c>
      <c r="D60" s="1">
        <v>59.0</v>
      </c>
      <c r="E60" s="1">
        <v>9.5</v>
      </c>
      <c r="F60" s="1" t="s">
        <v>16</v>
      </c>
    </row>
    <row r="61">
      <c r="A61" s="1" t="s">
        <v>79</v>
      </c>
      <c r="B61" s="1">
        <v>20.0</v>
      </c>
      <c r="C61" s="1">
        <v>3.0</v>
      </c>
      <c r="D61" s="1">
        <v>0.0</v>
      </c>
      <c r="E61" s="1">
        <v>0.7</v>
      </c>
      <c r="F61" s="1" t="s">
        <v>18</v>
      </c>
    </row>
    <row r="62">
      <c r="A62" s="1" t="s">
        <v>80</v>
      </c>
      <c r="B62" s="1">
        <v>77.0</v>
      </c>
      <c r="C62" s="1">
        <v>35.0</v>
      </c>
      <c r="D62" s="1">
        <v>1.0</v>
      </c>
      <c r="E62" s="1">
        <v>2.0</v>
      </c>
      <c r="F62" s="1" t="s">
        <v>28</v>
      </c>
    </row>
    <row r="63">
      <c r="A63" s="1" t="s">
        <v>81</v>
      </c>
      <c r="B63" s="1">
        <v>263.0</v>
      </c>
      <c r="C63" s="1">
        <v>133.0</v>
      </c>
      <c r="D63" s="1">
        <v>97.0</v>
      </c>
      <c r="E63" s="1">
        <v>10.0</v>
      </c>
      <c r="F63" s="1" t="s">
        <v>16</v>
      </c>
    </row>
    <row r="64">
      <c r="A64" s="1" t="s">
        <v>82</v>
      </c>
      <c r="B64" s="1">
        <v>127.0</v>
      </c>
      <c r="C64" s="1">
        <v>151.0</v>
      </c>
      <c r="D64" s="1">
        <v>370.0</v>
      </c>
      <c r="E64" s="1">
        <v>11.8</v>
      </c>
      <c r="F64" s="1" t="s">
        <v>16</v>
      </c>
    </row>
    <row r="65">
      <c r="A65" s="1" t="s">
        <v>83</v>
      </c>
      <c r="B65" s="1">
        <v>347.0</v>
      </c>
      <c r="C65" s="1">
        <v>98.0</v>
      </c>
      <c r="D65" s="1">
        <v>59.0</v>
      </c>
      <c r="E65" s="1">
        <v>8.9</v>
      </c>
      <c r="F65" s="1" t="s">
        <v>18</v>
      </c>
    </row>
    <row r="66">
      <c r="A66" s="1" t="s">
        <v>86</v>
      </c>
      <c r="B66" s="1">
        <v>8.0</v>
      </c>
      <c r="C66" s="1">
        <v>0.0</v>
      </c>
      <c r="D66" s="1">
        <v>1.0</v>
      </c>
      <c r="E66" s="1">
        <v>2.4</v>
      </c>
      <c r="F66" s="1" t="s">
        <v>18</v>
      </c>
    </row>
    <row r="67">
      <c r="A67" s="1" t="s">
        <v>87</v>
      </c>
      <c r="B67" s="1">
        <v>52.0</v>
      </c>
      <c r="C67" s="1">
        <v>100.0</v>
      </c>
      <c r="D67" s="1">
        <v>149.0</v>
      </c>
      <c r="E67" s="1">
        <v>5.4</v>
      </c>
      <c r="F67" s="1" t="s">
        <v>16</v>
      </c>
    </row>
    <row r="68">
      <c r="A68" s="1" t="s">
        <v>88</v>
      </c>
      <c r="B68" s="1">
        <v>346.0</v>
      </c>
      <c r="C68" s="1">
        <v>117.0</v>
      </c>
      <c r="D68" s="1">
        <v>175.0</v>
      </c>
      <c r="E68" s="1">
        <v>11.3</v>
      </c>
      <c r="F68" s="1" t="s">
        <v>16</v>
      </c>
    </row>
    <row r="69">
      <c r="A69" s="1" t="s">
        <v>89</v>
      </c>
      <c r="B69" s="1">
        <v>31.0</v>
      </c>
      <c r="C69" s="1">
        <v>3.0</v>
      </c>
      <c r="D69" s="1">
        <v>10.0</v>
      </c>
      <c r="E69" s="1">
        <v>1.8</v>
      </c>
      <c r="F69" s="1" t="s">
        <v>18</v>
      </c>
    </row>
    <row r="70">
      <c r="A70" s="1" t="s">
        <v>90</v>
      </c>
      <c r="B70" s="1">
        <v>133.0</v>
      </c>
      <c r="C70" s="1">
        <v>112.0</v>
      </c>
      <c r="D70" s="1">
        <v>218.0</v>
      </c>
      <c r="E70" s="1">
        <v>8.3</v>
      </c>
      <c r="F70" s="1" t="s">
        <v>16</v>
      </c>
    </row>
    <row r="71">
      <c r="A71" s="1" t="s">
        <v>91</v>
      </c>
      <c r="B71" s="1">
        <v>199.0</v>
      </c>
      <c r="C71" s="1">
        <v>438.0</v>
      </c>
      <c r="D71" s="1">
        <v>28.0</v>
      </c>
      <c r="E71" s="1">
        <v>11.9</v>
      </c>
      <c r="F71" s="1" t="s">
        <v>23</v>
      </c>
    </row>
    <row r="72">
      <c r="A72" s="1" t="s">
        <v>92</v>
      </c>
      <c r="B72" s="1">
        <v>53.0</v>
      </c>
      <c r="C72" s="1">
        <v>69.0</v>
      </c>
      <c r="D72" s="1">
        <v>2.0</v>
      </c>
      <c r="E72" s="1">
        <v>2.2</v>
      </c>
      <c r="F72" s="1" t="s">
        <v>23</v>
      </c>
    </row>
    <row r="73">
      <c r="A73" s="1" t="s">
        <v>93</v>
      </c>
      <c r="B73" s="1">
        <v>9.0</v>
      </c>
      <c r="C73" s="1">
        <v>0.0</v>
      </c>
      <c r="D73" s="1">
        <v>2.0</v>
      </c>
      <c r="E73" s="1">
        <v>0.2</v>
      </c>
      <c r="F73" s="1" t="s">
        <v>18</v>
      </c>
    </row>
    <row r="74">
      <c r="A74" s="1" t="s">
        <v>94</v>
      </c>
      <c r="B74" s="1">
        <v>28.0</v>
      </c>
      <c r="C74" s="1">
        <v>31.0</v>
      </c>
      <c r="D74" s="1">
        <v>21.0</v>
      </c>
      <c r="E74" s="1">
        <v>2.5</v>
      </c>
      <c r="F74" s="1" t="s">
        <v>18</v>
      </c>
    </row>
    <row r="75">
      <c r="A75" s="1" t="s">
        <v>95</v>
      </c>
      <c r="B75" s="1">
        <v>93.0</v>
      </c>
      <c r="C75" s="1">
        <v>302.0</v>
      </c>
      <c r="D75" s="1">
        <v>1.0</v>
      </c>
      <c r="E75" s="1">
        <v>7.1</v>
      </c>
      <c r="F75" s="1" t="s">
        <v>25</v>
      </c>
    </row>
    <row r="76">
      <c r="A76" s="1" t="s">
        <v>96</v>
      </c>
      <c r="B76" s="1">
        <v>1.0</v>
      </c>
      <c r="C76" s="1">
        <v>326.0</v>
      </c>
      <c r="D76" s="1">
        <v>1.0</v>
      </c>
      <c r="E76" s="1">
        <v>5.9</v>
      </c>
      <c r="F76" s="1" t="s">
        <v>23</v>
      </c>
    </row>
    <row r="77">
      <c r="A77" s="1" t="s">
        <v>97</v>
      </c>
      <c r="B77" s="1">
        <v>69.0</v>
      </c>
      <c r="C77" s="1">
        <v>98.0</v>
      </c>
      <c r="D77" s="1">
        <v>2.0</v>
      </c>
      <c r="E77" s="1">
        <v>3.0</v>
      </c>
      <c r="F77" s="1" t="s">
        <v>23</v>
      </c>
    </row>
    <row r="78">
      <c r="A78" s="1" t="s">
        <v>98</v>
      </c>
      <c r="B78" s="1">
        <v>234.0</v>
      </c>
      <c r="C78" s="1">
        <v>215.0</v>
      </c>
      <c r="D78" s="1">
        <v>185.0</v>
      </c>
      <c r="E78" s="1">
        <v>11.3</v>
      </c>
      <c r="F78" s="1" t="s">
        <v>16</v>
      </c>
    </row>
    <row r="79">
      <c r="A79" s="1" t="s">
        <v>99</v>
      </c>
      <c r="B79" s="1">
        <v>233.0</v>
      </c>
      <c r="C79" s="1">
        <v>61.0</v>
      </c>
      <c r="D79" s="1">
        <v>78.0</v>
      </c>
      <c r="E79" s="1">
        <v>6.6</v>
      </c>
      <c r="F79" s="1" t="s">
        <v>16</v>
      </c>
    </row>
    <row r="80">
      <c r="A80" s="1" t="s">
        <v>100</v>
      </c>
      <c r="B80" s="1">
        <v>9.0</v>
      </c>
      <c r="C80" s="1">
        <v>114.0</v>
      </c>
      <c r="D80" s="1">
        <v>0.0</v>
      </c>
      <c r="E80" s="1">
        <v>2.2</v>
      </c>
      <c r="F80" s="1" t="s">
        <v>14</v>
      </c>
    </row>
    <row r="81">
      <c r="A81" s="1" t="s">
        <v>101</v>
      </c>
      <c r="B81" s="1">
        <v>5.0</v>
      </c>
      <c r="C81" s="1">
        <v>1.0</v>
      </c>
      <c r="D81" s="1">
        <v>0.0</v>
      </c>
      <c r="E81" s="1">
        <v>0.1</v>
      </c>
      <c r="F81" s="1" t="s">
        <v>14</v>
      </c>
    </row>
    <row r="82">
      <c r="A82" s="1" t="s">
        <v>102</v>
      </c>
      <c r="B82" s="1">
        <v>0.0</v>
      </c>
      <c r="C82" s="1">
        <v>0.0</v>
      </c>
      <c r="D82" s="1">
        <v>0.0</v>
      </c>
      <c r="E82" s="1">
        <v>0.0</v>
      </c>
      <c r="F82" s="1" t="s">
        <v>14</v>
      </c>
    </row>
    <row r="83">
      <c r="A83" s="1" t="s">
        <v>103</v>
      </c>
      <c r="B83" s="1">
        <v>9.0</v>
      </c>
      <c r="C83" s="1">
        <v>3.0</v>
      </c>
      <c r="D83" s="1">
        <v>0.0</v>
      </c>
      <c r="E83" s="1">
        <v>0.2</v>
      </c>
      <c r="F83" s="1" t="s">
        <v>14</v>
      </c>
    </row>
    <row r="84">
      <c r="A84" s="1" t="s">
        <v>104</v>
      </c>
      <c r="B84" s="1">
        <v>313.0</v>
      </c>
      <c r="C84" s="1">
        <v>118.0</v>
      </c>
      <c r="D84" s="1">
        <v>165.0</v>
      </c>
      <c r="E84" s="1">
        <v>11.4</v>
      </c>
      <c r="F84" s="1" t="s">
        <v>16</v>
      </c>
    </row>
    <row r="85">
      <c r="A85" s="1" t="s">
        <v>105</v>
      </c>
      <c r="B85" s="1">
        <v>63.0</v>
      </c>
      <c r="C85" s="1">
        <v>69.0</v>
      </c>
      <c r="D85" s="1">
        <v>9.0</v>
      </c>
      <c r="E85" s="1">
        <v>2.5</v>
      </c>
      <c r="F85" s="1" t="s">
        <v>14</v>
      </c>
    </row>
    <row r="86">
      <c r="A86" s="1" t="s">
        <v>106</v>
      </c>
      <c r="B86" s="1">
        <v>85.0</v>
      </c>
      <c r="C86" s="1">
        <v>42.0</v>
      </c>
      <c r="D86" s="1">
        <v>237.0</v>
      </c>
      <c r="E86" s="1">
        <v>6.5</v>
      </c>
      <c r="F86" s="1" t="s">
        <v>16</v>
      </c>
    </row>
    <row r="87">
      <c r="A87" s="1" t="s">
        <v>107</v>
      </c>
      <c r="B87" s="1">
        <v>82.0</v>
      </c>
      <c r="C87" s="1">
        <v>97.0</v>
      </c>
      <c r="D87" s="1">
        <v>9.0</v>
      </c>
      <c r="E87" s="1">
        <v>3.4</v>
      </c>
      <c r="F87" s="1" t="s">
        <v>23</v>
      </c>
    </row>
    <row r="88">
      <c r="A88" s="1" t="s">
        <v>108</v>
      </c>
      <c r="B88" s="1">
        <v>77.0</v>
      </c>
      <c r="C88" s="1">
        <v>202.0</v>
      </c>
      <c r="D88" s="1">
        <v>16.0</v>
      </c>
      <c r="E88" s="1">
        <v>7.0</v>
      </c>
      <c r="F88" s="1" t="s">
        <v>14</v>
      </c>
    </row>
    <row r="89">
      <c r="A89" s="1" t="s">
        <v>109</v>
      </c>
      <c r="B89" s="1">
        <v>6.0</v>
      </c>
      <c r="C89" s="1">
        <v>21.0</v>
      </c>
      <c r="D89" s="1">
        <v>1.0</v>
      </c>
      <c r="E89" s="1">
        <v>0.5</v>
      </c>
      <c r="F89" s="1" t="s">
        <v>14</v>
      </c>
    </row>
    <row r="90">
      <c r="A90" s="1" t="s">
        <v>110</v>
      </c>
      <c r="B90" s="1">
        <v>124.0</v>
      </c>
      <c r="C90" s="1">
        <v>246.0</v>
      </c>
      <c r="D90" s="1">
        <v>12.0</v>
      </c>
      <c r="E90" s="1">
        <v>6.8</v>
      </c>
      <c r="F90" s="1" t="s">
        <v>14</v>
      </c>
    </row>
    <row r="91">
      <c r="A91" s="1" t="s">
        <v>111</v>
      </c>
      <c r="B91" s="1">
        <v>58.0</v>
      </c>
      <c r="C91" s="1">
        <v>22.0</v>
      </c>
      <c r="D91" s="1">
        <v>2.0</v>
      </c>
      <c r="E91" s="1">
        <v>1.8</v>
      </c>
      <c r="F91" s="1" t="s">
        <v>18</v>
      </c>
    </row>
    <row r="92">
      <c r="A92" s="1" t="s">
        <v>112</v>
      </c>
      <c r="B92" s="1">
        <v>21.0</v>
      </c>
      <c r="C92" s="1">
        <v>34.0</v>
      </c>
      <c r="D92" s="1">
        <v>1.0</v>
      </c>
      <c r="E92" s="1">
        <v>1.0</v>
      </c>
      <c r="F92" s="1" t="s">
        <v>28</v>
      </c>
    </row>
    <row r="93">
      <c r="A93" s="1" t="s">
        <v>113</v>
      </c>
      <c r="B93" s="1">
        <v>0.0</v>
      </c>
      <c r="C93" s="1">
        <v>0.0</v>
      </c>
      <c r="D93" s="1">
        <v>0.0</v>
      </c>
      <c r="E93" s="1">
        <v>0.0</v>
      </c>
      <c r="F93" s="1" t="s">
        <v>14</v>
      </c>
    </row>
    <row r="94">
      <c r="A94" s="1" t="s">
        <v>114</v>
      </c>
      <c r="B94" s="1">
        <v>31.0</v>
      </c>
      <c r="C94" s="1">
        <v>97.0</v>
      </c>
      <c r="D94" s="1">
        <v>6.0</v>
      </c>
      <c r="E94" s="1">
        <v>2.4</v>
      </c>
      <c r="F94" s="1" t="s">
        <v>14</v>
      </c>
    </row>
    <row r="95">
      <c r="A95" s="1" t="s">
        <v>115</v>
      </c>
      <c r="B95" s="1">
        <v>62.0</v>
      </c>
      <c r="C95" s="1">
        <v>0.0</v>
      </c>
      <c r="D95" s="1">
        <v>123.0</v>
      </c>
      <c r="E95" s="1">
        <v>6.2</v>
      </c>
      <c r="F95" s="1" t="s">
        <v>14</v>
      </c>
    </row>
    <row r="96">
      <c r="A96" s="1" t="s">
        <v>116</v>
      </c>
      <c r="B96" s="1">
        <v>281.0</v>
      </c>
      <c r="C96" s="1">
        <v>216.0</v>
      </c>
      <c r="D96" s="1">
        <v>62.0</v>
      </c>
      <c r="E96" s="1">
        <v>10.5</v>
      </c>
      <c r="F96" s="1" t="s">
        <v>16</v>
      </c>
    </row>
    <row r="97">
      <c r="A97" s="1" t="s">
        <v>117</v>
      </c>
      <c r="B97" s="1">
        <v>20.0</v>
      </c>
      <c r="C97" s="1">
        <v>55.0</v>
      </c>
      <c r="D97" s="1">
        <v>31.0</v>
      </c>
      <c r="E97" s="1">
        <v>1.9</v>
      </c>
      <c r="F97" s="1" t="s">
        <v>14</v>
      </c>
    </row>
    <row r="98">
      <c r="A98" s="1" t="s">
        <v>118</v>
      </c>
      <c r="B98" s="1">
        <v>82.0</v>
      </c>
      <c r="C98" s="1">
        <v>29.0</v>
      </c>
      <c r="D98" s="1">
        <v>0.0</v>
      </c>
      <c r="E98" s="1">
        <v>2.8</v>
      </c>
      <c r="F98" s="1" t="s">
        <v>18</v>
      </c>
    </row>
    <row r="99">
      <c r="A99" s="1" t="s">
        <v>119</v>
      </c>
      <c r="B99" s="1">
        <v>19.0</v>
      </c>
      <c r="C99" s="1">
        <v>152.0</v>
      </c>
      <c r="D99" s="1">
        <v>2.0</v>
      </c>
      <c r="E99" s="1">
        <v>3.1</v>
      </c>
      <c r="F99" s="1" t="s">
        <v>18</v>
      </c>
    </row>
    <row r="100">
      <c r="A100" s="1" t="s">
        <v>120</v>
      </c>
      <c r="B100" s="1">
        <v>0.0</v>
      </c>
      <c r="C100" s="1">
        <v>0.0</v>
      </c>
      <c r="D100" s="1">
        <v>0.0</v>
      </c>
      <c r="E100" s="1">
        <v>0.0</v>
      </c>
      <c r="F100" s="1" t="s">
        <v>18</v>
      </c>
    </row>
    <row r="101">
      <c r="A101" s="1" t="s">
        <v>121</v>
      </c>
      <c r="B101" s="1">
        <v>343.0</v>
      </c>
      <c r="C101" s="1">
        <v>244.0</v>
      </c>
      <c r="D101" s="1">
        <v>56.0</v>
      </c>
      <c r="E101" s="1">
        <v>12.9</v>
      </c>
      <c r="F101" s="1" t="s">
        <v>16</v>
      </c>
    </row>
    <row r="102">
      <c r="A102" s="1" t="s">
        <v>122</v>
      </c>
      <c r="B102" s="1">
        <v>236.0</v>
      </c>
      <c r="C102" s="1">
        <v>133.0</v>
      </c>
      <c r="D102" s="1">
        <v>271.0</v>
      </c>
      <c r="E102" s="1">
        <v>11.4</v>
      </c>
      <c r="F102" s="1" t="s">
        <v>16</v>
      </c>
    </row>
    <row r="103">
      <c r="A103" s="1" t="s">
        <v>123</v>
      </c>
      <c r="B103" s="1">
        <v>26.0</v>
      </c>
      <c r="C103" s="1">
        <v>15.0</v>
      </c>
      <c r="D103" s="1">
        <v>4.0</v>
      </c>
      <c r="E103" s="1">
        <v>0.8</v>
      </c>
      <c r="F103" s="1" t="s">
        <v>18</v>
      </c>
    </row>
    <row r="104">
      <c r="A104" s="1" t="s">
        <v>124</v>
      </c>
      <c r="B104" s="1">
        <v>8.0</v>
      </c>
      <c r="C104" s="1">
        <v>11.0</v>
      </c>
      <c r="D104" s="1">
        <v>1.0</v>
      </c>
      <c r="E104" s="1">
        <v>1.5</v>
      </c>
      <c r="F104" s="1" t="s">
        <v>18</v>
      </c>
    </row>
    <row r="105">
      <c r="A105" s="1" t="s">
        <v>125</v>
      </c>
      <c r="B105" s="1">
        <v>13.0</v>
      </c>
      <c r="C105" s="1">
        <v>4.0</v>
      </c>
      <c r="D105" s="1">
        <v>0.0</v>
      </c>
      <c r="E105" s="1">
        <v>0.3</v>
      </c>
      <c r="F105" s="1" t="s">
        <v>14</v>
      </c>
    </row>
    <row r="106">
      <c r="A106" s="1" t="s">
        <v>127</v>
      </c>
      <c r="B106" s="1">
        <v>0.0</v>
      </c>
      <c r="C106" s="1">
        <v>0.0</v>
      </c>
      <c r="D106" s="1">
        <v>0.0</v>
      </c>
      <c r="E106" s="1">
        <v>0.0</v>
      </c>
      <c r="F106" s="1" t="s">
        <v>14</v>
      </c>
    </row>
    <row r="107">
      <c r="A107" s="1" t="s">
        <v>128</v>
      </c>
      <c r="B107" s="1">
        <v>5.0</v>
      </c>
      <c r="C107" s="1">
        <v>1.0</v>
      </c>
      <c r="D107" s="1">
        <v>1.0</v>
      </c>
      <c r="E107" s="1">
        <v>0.6</v>
      </c>
      <c r="F107" s="1" t="s">
        <v>18</v>
      </c>
    </row>
    <row r="108">
      <c r="A108" s="1" t="s">
        <v>129</v>
      </c>
      <c r="B108" s="1">
        <v>149.0</v>
      </c>
      <c r="C108" s="1">
        <v>100.0</v>
      </c>
      <c r="D108" s="1">
        <v>120.0</v>
      </c>
      <c r="E108" s="1">
        <v>6.6</v>
      </c>
      <c r="F108" s="1" t="s">
        <v>16</v>
      </c>
    </row>
    <row r="109">
      <c r="A109" s="1" t="s">
        <v>130</v>
      </c>
      <c r="B109" s="1">
        <v>0.0</v>
      </c>
      <c r="C109" s="1">
        <v>0.0</v>
      </c>
      <c r="D109" s="1">
        <v>0.0</v>
      </c>
      <c r="E109" s="1">
        <v>0.0</v>
      </c>
      <c r="F109" s="1" t="s">
        <v>28</v>
      </c>
    </row>
    <row r="110">
      <c r="A110" s="1" t="s">
        <v>131</v>
      </c>
      <c r="B110" s="1">
        <v>0.0</v>
      </c>
      <c r="C110" s="1">
        <v>0.0</v>
      </c>
      <c r="D110" s="1">
        <v>0.0</v>
      </c>
      <c r="E110" s="1">
        <v>0.0</v>
      </c>
      <c r="F110" s="1" t="s">
        <v>18</v>
      </c>
    </row>
    <row r="111">
      <c r="A111" s="1" t="s">
        <v>132</v>
      </c>
      <c r="B111" s="1">
        <v>98.0</v>
      </c>
      <c r="C111" s="1">
        <v>31.0</v>
      </c>
      <c r="D111" s="1">
        <v>18.0</v>
      </c>
      <c r="E111" s="1">
        <v>2.6</v>
      </c>
      <c r="F111" s="1" t="s">
        <v>18</v>
      </c>
    </row>
    <row r="112">
      <c r="A112" s="1" t="s">
        <v>133</v>
      </c>
      <c r="B112" s="1">
        <v>238.0</v>
      </c>
      <c r="C112" s="1">
        <v>68.0</v>
      </c>
      <c r="D112" s="1">
        <v>5.0</v>
      </c>
      <c r="E112" s="1">
        <v>5.5</v>
      </c>
      <c r="F112" s="1" t="s">
        <v>23</v>
      </c>
    </row>
    <row r="113">
      <c r="A113" s="1" t="s">
        <v>134</v>
      </c>
      <c r="B113" s="1">
        <v>62.0</v>
      </c>
      <c r="C113" s="1">
        <v>50.0</v>
      </c>
      <c r="D113" s="1">
        <v>18.0</v>
      </c>
      <c r="E113" s="1">
        <v>2.3</v>
      </c>
      <c r="F113" s="1" t="s">
        <v>28</v>
      </c>
    </row>
    <row r="114">
      <c r="A114" s="1" t="s">
        <v>136</v>
      </c>
      <c r="B114" s="1">
        <v>0.0</v>
      </c>
      <c r="C114" s="1">
        <v>0.0</v>
      </c>
      <c r="D114" s="1">
        <v>0.0</v>
      </c>
      <c r="E114" s="1">
        <v>0.0</v>
      </c>
      <c r="F114" s="1" t="s">
        <v>16</v>
      </c>
    </row>
    <row r="115">
      <c r="A115" s="1" t="s">
        <v>137</v>
      </c>
      <c r="B115" s="1">
        <v>77.0</v>
      </c>
      <c r="C115" s="1">
        <v>189.0</v>
      </c>
      <c r="D115" s="1">
        <v>8.0</v>
      </c>
      <c r="E115" s="1">
        <v>4.9</v>
      </c>
      <c r="F115" s="1" t="s">
        <v>14</v>
      </c>
    </row>
    <row r="116">
      <c r="A116" s="1" t="s">
        <v>138</v>
      </c>
      <c r="B116" s="1">
        <v>31.0</v>
      </c>
      <c r="C116" s="1">
        <v>114.0</v>
      </c>
      <c r="D116" s="1">
        <v>128.0</v>
      </c>
      <c r="E116" s="1">
        <v>4.9</v>
      </c>
      <c r="F116" s="1" t="s">
        <v>16</v>
      </c>
    </row>
    <row r="117">
      <c r="A117" s="1" t="s">
        <v>139</v>
      </c>
      <c r="B117" s="1">
        <v>12.0</v>
      </c>
      <c r="C117" s="1">
        <v>6.0</v>
      </c>
      <c r="D117" s="1">
        <v>10.0</v>
      </c>
      <c r="E117" s="1">
        <v>0.5</v>
      </c>
      <c r="F117" s="1" t="s">
        <v>18</v>
      </c>
    </row>
    <row r="118">
      <c r="A118" s="1" t="s">
        <v>140</v>
      </c>
      <c r="B118" s="1">
        <v>47.0</v>
      </c>
      <c r="C118" s="1">
        <v>18.0</v>
      </c>
      <c r="D118" s="1">
        <v>5.0</v>
      </c>
      <c r="E118" s="1">
        <v>1.3</v>
      </c>
      <c r="F118" s="1" t="s">
        <v>18</v>
      </c>
    </row>
    <row r="119">
      <c r="A119" s="1" t="s">
        <v>141</v>
      </c>
      <c r="B119" s="1">
        <v>5.0</v>
      </c>
      <c r="C119" s="1">
        <v>1.0</v>
      </c>
      <c r="D119" s="1">
        <v>0.0</v>
      </c>
      <c r="E119" s="1">
        <v>0.1</v>
      </c>
      <c r="F119" s="1" t="s">
        <v>14</v>
      </c>
    </row>
    <row r="120">
      <c r="A120" s="1" t="s">
        <v>142</v>
      </c>
      <c r="B120" s="1">
        <v>376.0</v>
      </c>
      <c r="C120" s="1">
        <v>3.0</v>
      </c>
      <c r="D120" s="1">
        <v>1.0</v>
      </c>
      <c r="E120" s="1">
        <v>6.8</v>
      </c>
      <c r="F120" s="1" t="s">
        <v>18</v>
      </c>
    </row>
    <row r="121">
      <c r="A121" s="1" t="s">
        <v>143</v>
      </c>
      <c r="B121" s="1">
        <v>49.0</v>
      </c>
      <c r="C121" s="1">
        <v>0.0</v>
      </c>
      <c r="D121" s="1">
        <v>8.0</v>
      </c>
      <c r="E121" s="1">
        <v>1.0</v>
      </c>
      <c r="F121" s="1" t="s">
        <v>28</v>
      </c>
    </row>
    <row r="122">
      <c r="A122" s="1" t="s">
        <v>144</v>
      </c>
      <c r="B122" s="1">
        <v>5.0</v>
      </c>
      <c r="C122" s="1">
        <v>6.0</v>
      </c>
      <c r="D122" s="1">
        <v>0.0</v>
      </c>
      <c r="E122" s="1">
        <v>0.2</v>
      </c>
      <c r="F122" s="1" t="s">
        <v>14</v>
      </c>
    </row>
    <row r="123">
      <c r="A123" s="1" t="s">
        <v>145</v>
      </c>
      <c r="B123" s="1">
        <v>251.0</v>
      </c>
      <c r="C123" s="1">
        <v>88.0</v>
      </c>
      <c r="D123" s="1">
        <v>190.0</v>
      </c>
      <c r="E123" s="1">
        <v>9.4</v>
      </c>
      <c r="F123" s="1" t="s">
        <v>16</v>
      </c>
    </row>
    <row r="124">
      <c r="A124" s="1" t="s">
        <v>146</v>
      </c>
      <c r="B124" s="1">
        <v>203.0</v>
      </c>
      <c r="C124" s="1">
        <v>79.0</v>
      </c>
      <c r="D124" s="1">
        <v>175.0</v>
      </c>
      <c r="E124" s="1">
        <v>9.3</v>
      </c>
      <c r="F124" s="1" t="s">
        <v>28</v>
      </c>
    </row>
    <row r="125">
      <c r="A125" s="1" t="s">
        <v>147</v>
      </c>
      <c r="B125" s="1">
        <v>78.0</v>
      </c>
      <c r="C125" s="1">
        <v>118.0</v>
      </c>
      <c r="D125" s="1">
        <v>1.0</v>
      </c>
      <c r="E125" s="1">
        <v>3.5</v>
      </c>
      <c r="F125" s="1" t="s">
        <v>23</v>
      </c>
    </row>
    <row r="126">
      <c r="A126" s="1" t="s">
        <v>148</v>
      </c>
      <c r="B126" s="1">
        <v>3.0</v>
      </c>
      <c r="C126" s="1">
        <v>2.0</v>
      </c>
      <c r="D126" s="1">
        <v>1.0</v>
      </c>
      <c r="E126" s="1">
        <v>0.1</v>
      </c>
      <c r="F126" s="1" t="s">
        <v>18</v>
      </c>
    </row>
    <row r="127">
      <c r="A127" s="1" t="s">
        <v>149</v>
      </c>
      <c r="B127" s="1">
        <v>42.0</v>
      </c>
      <c r="C127" s="1">
        <v>5.0</v>
      </c>
      <c r="D127" s="1">
        <v>2.0</v>
      </c>
      <c r="E127" s="1">
        <v>9.1</v>
      </c>
      <c r="F127" s="1" t="s">
        <v>18</v>
      </c>
    </row>
    <row r="128">
      <c r="A128" s="1" t="s">
        <v>150</v>
      </c>
      <c r="B128" s="1">
        <v>188.0</v>
      </c>
      <c r="C128" s="1">
        <v>200.0</v>
      </c>
      <c r="D128" s="1">
        <v>7.0</v>
      </c>
      <c r="E128" s="1">
        <v>7.0</v>
      </c>
      <c r="F128" s="1" t="s">
        <v>28</v>
      </c>
    </row>
    <row r="129">
      <c r="A129" s="1" t="s">
        <v>151</v>
      </c>
      <c r="B129" s="1">
        <v>169.0</v>
      </c>
      <c r="C129" s="1">
        <v>71.0</v>
      </c>
      <c r="D129" s="1">
        <v>129.0</v>
      </c>
      <c r="E129" s="1">
        <v>6.7</v>
      </c>
      <c r="F129" s="1" t="s">
        <v>16</v>
      </c>
    </row>
    <row r="130">
      <c r="A130" s="1" t="s">
        <v>152</v>
      </c>
      <c r="B130" s="1">
        <v>22.0</v>
      </c>
      <c r="C130" s="1">
        <v>16.0</v>
      </c>
      <c r="D130" s="1">
        <v>1.0</v>
      </c>
      <c r="E130" s="1">
        <v>0.7</v>
      </c>
      <c r="F130" s="1" t="s">
        <v>14</v>
      </c>
    </row>
    <row r="131">
      <c r="A131" s="1" t="s">
        <v>153</v>
      </c>
      <c r="B131" s="1">
        <v>0.0</v>
      </c>
      <c r="C131" s="1">
        <v>0.0</v>
      </c>
      <c r="D131" s="1">
        <v>0.0</v>
      </c>
      <c r="E131" s="1">
        <v>0.0</v>
      </c>
      <c r="F131" s="1" t="s">
        <v>14</v>
      </c>
    </row>
    <row r="132">
      <c r="A132" s="1" t="s">
        <v>154</v>
      </c>
      <c r="B132" s="1">
        <v>306.0</v>
      </c>
      <c r="C132" s="1">
        <v>63.0</v>
      </c>
      <c r="D132" s="1">
        <v>23.0</v>
      </c>
      <c r="E132" s="1">
        <v>6.9</v>
      </c>
      <c r="F132" s="1" t="s">
        <v>28</v>
      </c>
    </row>
    <row r="133">
      <c r="A133" s="1" t="s">
        <v>155</v>
      </c>
      <c r="B133" s="1">
        <v>285.0</v>
      </c>
      <c r="C133" s="1">
        <v>104.0</v>
      </c>
      <c r="D133" s="1">
        <v>18.0</v>
      </c>
      <c r="E133" s="1">
        <v>7.2</v>
      </c>
      <c r="F133" s="1" t="s">
        <v>23</v>
      </c>
    </row>
    <row r="134">
      <c r="A134" s="1" t="s">
        <v>156</v>
      </c>
      <c r="B134" s="1">
        <v>44.0</v>
      </c>
      <c r="C134" s="1">
        <v>39.0</v>
      </c>
      <c r="D134" s="1">
        <v>1.0</v>
      </c>
      <c r="E134" s="1">
        <v>1.5</v>
      </c>
      <c r="F134" s="1" t="s">
        <v>28</v>
      </c>
    </row>
    <row r="135">
      <c r="A135" s="1" t="s">
        <v>157</v>
      </c>
      <c r="B135" s="1">
        <v>213.0</v>
      </c>
      <c r="C135" s="1">
        <v>117.0</v>
      </c>
      <c r="D135" s="1">
        <v>74.0</v>
      </c>
      <c r="E135" s="1">
        <v>7.3</v>
      </c>
      <c r="F135" s="1" t="s">
        <v>25</v>
      </c>
    </row>
    <row r="136">
      <c r="A136" s="1" t="s">
        <v>158</v>
      </c>
      <c r="B136" s="1">
        <v>163.0</v>
      </c>
      <c r="C136" s="1">
        <v>160.0</v>
      </c>
      <c r="D136" s="1">
        <v>21.0</v>
      </c>
      <c r="E136" s="1">
        <v>6.1</v>
      </c>
      <c r="F136" s="1" t="s">
        <v>25</v>
      </c>
    </row>
    <row r="137">
      <c r="A137" s="1" t="s">
        <v>159</v>
      </c>
      <c r="B137" s="1">
        <v>71.0</v>
      </c>
      <c r="C137" s="1">
        <v>186.0</v>
      </c>
      <c r="D137" s="1">
        <v>1.0</v>
      </c>
      <c r="E137" s="1">
        <v>4.6</v>
      </c>
      <c r="F137" s="1" t="s">
        <v>14</v>
      </c>
    </row>
    <row r="138">
      <c r="A138" s="1" t="s">
        <v>160</v>
      </c>
      <c r="B138" s="1">
        <v>343.0</v>
      </c>
      <c r="C138" s="1">
        <v>215.0</v>
      </c>
      <c r="D138" s="1">
        <v>56.0</v>
      </c>
      <c r="E138" s="1">
        <v>10.9</v>
      </c>
      <c r="F138" s="1" t="s">
        <v>16</v>
      </c>
    </row>
    <row r="139">
      <c r="A139" s="1" t="s">
        <v>161</v>
      </c>
      <c r="B139" s="1">
        <v>194.0</v>
      </c>
      <c r="C139" s="1">
        <v>67.0</v>
      </c>
      <c r="D139" s="1">
        <v>339.0</v>
      </c>
      <c r="E139" s="1">
        <v>11.0</v>
      </c>
      <c r="F139" s="1" t="s">
        <v>16</v>
      </c>
    </row>
    <row r="140">
      <c r="A140" s="1" t="s">
        <v>162</v>
      </c>
      <c r="B140" s="1">
        <v>1.0</v>
      </c>
      <c r="C140" s="1">
        <v>42.0</v>
      </c>
      <c r="D140" s="1">
        <v>7.0</v>
      </c>
      <c r="E140" s="1">
        <v>0.9</v>
      </c>
      <c r="F140" s="1" t="s">
        <v>14</v>
      </c>
    </row>
    <row r="141">
      <c r="A141" s="1" t="s">
        <v>180</v>
      </c>
      <c r="B141" s="1">
        <v>140.0</v>
      </c>
      <c r="C141" s="1">
        <v>16.0</v>
      </c>
      <c r="D141" s="1">
        <v>9.0</v>
      </c>
      <c r="E141" s="1">
        <v>9.8</v>
      </c>
      <c r="F141" s="1" t="s">
        <v>14</v>
      </c>
    </row>
    <row r="142">
      <c r="A142" s="1" t="s">
        <v>135</v>
      </c>
      <c r="B142" s="1">
        <v>109.0</v>
      </c>
      <c r="C142" s="1">
        <v>226.0</v>
      </c>
      <c r="D142" s="1">
        <v>18.0</v>
      </c>
      <c r="E142" s="1">
        <v>6.3</v>
      </c>
      <c r="F142" s="1" t="s">
        <v>16</v>
      </c>
    </row>
    <row r="143">
      <c r="A143" s="1" t="s">
        <v>163</v>
      </c>
      <c r="B143" s="1">
        <v>297.0</v>
      </c>
      <c r="C143" s="1">
        <v>122.0</v>
      </c>
      <c r="D143" s="1">
        <v>167.0</v>
      </c>
      <c r="E143" s="1">
        <v>10.4</v>
      </c>
      <c r="F143" s="1" t="s">
        <v>16</v>
      </c>
    </row>
    <row r="144">
      <c r="A144" s="1" t="s">
        <v>164</v>
      </c>
      <c r="B144" s="1">
        <v>247.0</v>
      </c>
      <c r="C144" s="1">
        <v>326.0</v>
      </c>
      <c r="D144" s="1">
        <v>73.0</v>
      </c>
      <c r="E144" s="1">
        <v>11.5</v>
      </c>
      <c r="F144" s="1" t="s">
        <v>14</v>
      </c>
    </row>
    <row r="145">
      <c r="A145" s="1" t="s">
        <v>165</v>
      </c>
      <c r="B145" s="1">
        <v>43.0</v>
      </c>
      <c r="C145" s="1">
        <v>2.0</v>
      </c>
      <c r="D145" s="1">
        <v>0.0</v>
      </c>
      <c r="E145" s="1">
        <v>6.8</v>
      </c>
      <c r="F145" s="1" t="s">
        <v>18</v>
      </c>
    </row>
    <row r="146">
      <c r="A146" s="1" t="s">
        <v>183</v>
      </c>
      <c r="B146" s="1">
        <v>194.0</v>
      </c>
      <c r="C146" s="1">
        <v>205.0</v>
      </c>
      <c r="D146" s="1">
        <v>32.0</v>
      </c>
      <c r="E146" s="1">
        <v>7.7</v>
      </c>
      <c r="F146" s="1" t="s">
        <v>23</v>
      </c>
    </row>
    <row r="147">
      <c r="A147" s="1" t="s">
        <v>184</v>
      </c>
      <c r="B147" s="1">
        <v>171.0</v>
      </c>
      <c r="C147" s="1">
        <v>315.0</v>
      </c>
      <c r="D147" s="1">
        <v>71.0</v>
      </c>
      <c r="E147" s="1">
        <v>10.1</v>
      </c>
      <c r="F147" s="1" t="s">
        <v>23</v>
      </c>
    </row>
    <row r="148">
      <c r="A148" s="1" t="s">
        <v>185</v>
      </c>
      <c r="B148" s="1">
        <v>120.0</v>
      </c>
      <c r="C148" s="1">
        <v>221.0</v>
      </c>
      <c r="D148" s="1">
        <v>11.0</v>
      </c>
      <c r="E148" s="1">
        <v>6.3</v>
      </c>
      <c r="F148" s="1" t="s">
        <v>23</v>
      </c>
    </row>
    <row r="149">
      <c r="A149" s="1" t="s">
        <v>166</v>
      </c>
      <c r="B149" s="1">
        <v>105.0</v>
      </c>
      <c r="C149" s="1">
        <v>18.0</v>
      </c>
      <c r="D149" s="1">
        <v>24.0</v>
      </c>
      <c r="E149" s="1">
        <v>2.6</v>
      </c>
      <c r="F149" s="1" t="s">
        <v>28</v>
      </c>
    </row>
    <row r="150">
      <c r="A150" s="1" t="s">
        <v>167</v>
      </c>
      <c r="B150" s="1">
        <v>0.0</v>
      </c>
      <c r="C150" s="1">
        <v>0.0</v>
      </c>
      <c r="D150" s="1">
        <v>0.0</v>
      </c>
      <c r="E150" s="1">
        <v>0.0</v>
      </c>
      <c r="F150" s="1" t="s">
        <v>16</v>
      </c>
    </row>
    <row r="151">
      <c r="A151" s="1" t="s">
        <v>168</v>
      </c>
      <c r="B151" s="1">
        <v>56.0</v>
      </c>
      <c r="C151" s="1">
        <v>38.0</v>
      </c>
      <c r="D151" s="1">
        <v>140.0</v>
      </c>
      <c r="E151" s="1">
        <v>4.2</v>
      </c>
      <c r="F151" s="1" t="s">
        <v>18</v>
      </c>
    </row>
    <row r="152">
      <c r="A152" s="1" t="s">
        <v>169</v>
      </c>
      <c r="B152" s="1">
        <v>0.0</v>
      </c>
      <c r="C152" s="1">
        <v>5.0</v>
      </c>
      <c r="D152" s="1">
        <v>0.0</v>
      </c>
      <c r="E152" s="1">
        <v>0.1</v>
      </c>
      <c r="F152" s="1" t="s">
        <v>14</v>
      </c>
    </row>
    <row r="153">
      <c r="A153" s="1" t="s">
        <v>170</v>
      </c>
      <c r="B153" s="1">
        <v>9.0</v>
      </c>
      <c r="C153" s="1">
        <v>1.0</v>
      </c>
      <c r="D153" s="1">
        <v>7.0</v>
      </c>
      <c r="E153" s="1">
        <v>0.3</v>
      </c>
      <c r="F153" s="1" t="s">
        <v>18</v>
      </c>
    </row>
    <row r="154">
      <c r="A154" s="1" t="s">
        <v>171</v>
      </c>
      <c r="B154" s="1">
        <v>283.0</v>
      </c>
      <c r="C154" s="1">
        <v>131.0</v>
      </c>
      <c r="D154" s="1">
        <v>127.0</v>
      </c>
      <c r="E154" s="1">
        <v>9.6</v>
      </c>
      <c r="F154" s="1" t="s">
        <v>16</v>
      </c>
    </row>
    <row r="155">
      <c r="A155" s="1" t="s">
        <v>172</v>
      </c>
      <c r="B155" s="1">
        <v>157.0</v>
      </c>
      <c r="C155" s="1">
        <v>25.0</v>
      </c>
      <c r="D155" s="1">
        <v>51.0</v>
      </c>
      <c r="E155" s="1">
        <v>4.1</v>
      </c>
      <c r="F155" s="1" t="s">
        <v>18</v>
      </c>
    </row>
    <row r="156">
      <c r="A156" s="1" t="s">
        <v>173</v>
      </c>
      <c r="B156" s="1">
        <v>25.0</v>
      </c>
      <c r="C156" s="1">
        <v>3.0</v>
      </c>
      <c r="D156" s="1">
        <v>2.0</v>
      </c>
      <c r="E156" s="1">
        <v>6.7</v>
      </c>
      <c r="F156" s="1" t="s">
        <v>18</v>
      </c>
    </row>
    <row r="157">
      <c r="A157" s="1" t="s">
        <v>174</v>
      </c>
      <c r="B157" s="1">
        <v>60.0</v>
      </c>
      <c r="C157" s="1">
        <v>12.0</v>
      </c>
      <c r="D157" s="1">
        <v>11.0</v>
      </c>
      <c r="E157" s="1">
        <v>1.5</v>
      </c>
      <c r="F157" s="1" t="s">
        <v>14</v>
      </c>
    </row>
    <row r="158">
      <c r="A158" s="1" t="s">
        <v>175</v>
      </c>
      <c r="B158" s="1">
        <v>196.0</v>
      </c>
      <c r="C158" s="1">
        <v>293.0</v>
      </c>
      <c r="D158" s="1">
        <v>116.0</v>
      </c>
      <c r="E158" s="1">
        <v>11.4</v>
      </c>
      <c r="F158" s="1" t="s">
        <v>16</v>
      </c>
    </row>
    <row r="159">
      <c r="A159" s="1" t="s">
        <v>176</v>
      </c>
      <c r="B159" s="1">
        <v>270.0</v>
      </c>
      <c r="C159" s="1">
        <v>51.0</v>
      </c>
      <c r="D159" s="1">
        <v>276.0</v>
      </c>
      <c r="E159" s="1">
        <v>10.6</v>
      </c>
      <c r="F159" s="1" t="s">
        <v>16</v>
      </c>
    </row>
    <row r="160">
      <c r="A160" s="1" t="s">
        <v>177</v>
      </c>
      <c r="B160" s="1">
        <v>56.0</v>
      </c>
      <c r="C160" s="1">
        <v>11.0</v>
      </c>
      <c r="D160" s="1">
        <v>1.0</v>
      </c>
      <c r="E160" s="1">
        <v>1.2</v>
      </c>
      <c r="F160" s="1" t="s">
        <v>28</v>
      </c>
    </row>
    <row r="161">
      <c r="A161" s="1" t="s">
        <v>178</v>
      </c>
      <c r="B161" s="1">
        <v>0.0</v>
      </c>
      <c r="C161" s="1">
        <v>0.0</v>
      </c>
      <c r="D161" s="1">
        <v>0.0</v>
      </c>
      <c r="E161" s="1">
        <v>0.0</v>
      </c>
      <c r="F161" s="1" t="s">
        <v>18</v>
      </c>
    </row>
    <row r="162">
      <c r="A162" s="1" t="s">
        <v>179</v>
      </c>
      <c r="B162" s="1">
        <v>225.0</v>
      </c>
      <c r="C162" s="1">
        <v>76.0</v>
      </c>
      <c r="D162" s="1">
        <v>81.0</v>
      </c>
      <c r="E162" s="1">
        <v>8.2</v>
      </c>
      <c r="F162" s="1" t="s">
        <v>18</v>
      </c>
    </row>
    <row r="163">
      <c r="A163" s="1" t="s">
        <v>181</v>
      </c>
      <c r="B163" s="1">
        <v>284.0</v>
      </c>
      <c r="C163" s="1">
        <v>157.0</v>
      </c>
      <c r="D163" s="1">
        <v>112.0</v>
      </c>
      <c r="E163" s="1">
        <v>10.0</v>
      </c>
      <c r="F163" s="1" t="s">
        <v>16</v>
      </c>
    </row>
    <row r="164">
      <c r="A164" s="1" t="s">
        <v>182</v>
      </c>
      <c r="B164" s="1">
        <v>16.0</v>
      </c>
      <c r="C164" s="1">
        <v>104.0</v>
      </c>
      <c r="D164" s="1">
        <v>0.0</v>
      </c>
      <c r="E164" s="1">
        <v>2.2</v>
      </c>
      <c r="F164" s="1" t="s">
        <v>14</v>
      </c>
    </row>
    <row r="165">
      <c r="A165" s="1" t="s">
        <v>186</v>
      </c>
      <c r="B165" s="1">
        <v>8.0</v>
      </c>
      <c r="C165" s="1">
        <v>13.0</v>
      </c>
      <c r="D165" s="1">
        <v>0.0</v>
      </c>
      <c r="E165" s="1">
        <v>1.7</v>
      </c>
      <c r="F165" s="1" t="s">
        <v>18</v>
      </c>
    </row>
    <row r="166">
      <c r="A166" s="1" t="s">
        <v>187</v>
      </c>
      <c r="B166" s="1">
        <v>128.0</v>
      </c>
      <c r="C166" s="1">
        <v>178.0</v>
      </c>
      <c r="D166" s="1">
        <v>7.0</v>
      </c>
      <c r="E166" s="1">
        <v>5.6</v>
      </c>
      <c r="F166" s="1" t="s">
        <v>25</v>
      </c>
    </row>
    <row r="167">
      <c r="A167" s="1" t="s">
        <v>188</v>
      </c>
      <c r="B167" s="1">
        <v>90.0</v>
      </c>
      <c r="C167" s="1">
        <v>2.0</v>
      </c>
      <c r="D167" s="1">
        <v>2.0</v>
      </c>
      <c r="E167" s="1">
        <v>4.7</v>
      </c>
      <c r="F167" s="1" t="s">
        <v>18</v>
      </c>
    </row>
    <row r="168">
      <c r="A168" s="1" t="s">
        <v>189</v>
      </c>
      <c r="B168" s="1">
        <v>152.0</v>
      </c>
      <c r="C168" s="1">
        <v>60.0</v>
      </c>
      <c r="D168" s="1">
        <v>186.0</v>
      </c>
      <c r="E168" s="1">
        <v>7.2</v>
      </c>
      <c r="F168" s="1" t="s">
        <v>16</v>
      </c>
    </row>
    <row r="169">
      <c r="A169" s="1" t="s">
        <v>190</v>
      </c>
      <c r="B169" s="1">
        <v>185.0</v>
      </c>
      <c r="C169" s="1">
        <v>100.0</v>
      </c>
      <c r="D169" s="1">
        <v>280.0</v>
      </c>
      <c r="E169" s="1">
        <v>10.2</v>
      </c>
      <c r="F169" s="1" t="s">
        <v>16</v>
      </c>
    </row>
    <row r="170">
      <c r="A170" s="1" t="s">
        <v>191</v>
      </c>
      <c r="B170" s="1">
        <v>5.0</v>
      </c>
      <c r="C170" s="1">
        <v>35.0</v>
      </c>
      <c r="D170" s="1">
        <v>16.0</v>
      </c>
      <c r="E170" s="1">
        <v>1.0</v>
      </c>
      <c r="F170" s="1" t="s">
        <v>14</v>
      </c>
    </row>
    <row r="171">
      <c r="A171" s="1" t="s">
        <v>192</v>
      </c>
      <c r="B171" s="1">
        <v>2.0</v>
      </c>
      <c r="C171" s="1">
        <v>15.0</v>
      </c>
      <c r="D171" s="1">
        <v>0.0</v>
      </c>
      <c r="E171" s="1">
        <v>0.3</v>
      </c>
      <c r="F171" s="1" t="s">
        <v>14</v>
      </c>
    </row>
    <row r="172">
      <c r="A172" s="1" t="s">
        <v>195</v>
      </c>
      <c r="B172" s="1">
        <v>99.0</v>
      </c>
      <c r="C172" s="1">
        <v>258.0</v>
      </c>
      <c r="D172" s="1">
        <v>1.0</v>
      </c>
      <c r="E172" s="1">
        <v>6.4</v>
      </c>
      <c r="F172" s="1" t="s">
        <v>14</v>
      </c>
    </row>
    <row r="173">
      <c r="A173" s="1" t="s">
        <v>126</v>
      </c>
      <c r="B173" s="1">
        <v>106.0</v>
      </c>
      <c r="C173" s="1">
        <v>27.0</v>
      </c>
      <c r="D173" s="1">
        <v>86.0</v>
      </c>
      <c r="E173" s="1">
        <v>3.9</v>
      </c>
      <c r="F173" s="1" t="s">
        <v>16</v>
      </c>
    </row>
    <row r="174">
      <c r="A174" s="1" t="s">
        <v>196</v>
      </c>
      <c r="B174" s="1">
        <v>1.0</v>
      </c>
      <c r="C174" s="1">
        <v>1.0</v>
      </c>
      <c r="D174" s="1">
        <v>4.0</v>
      </c>
      <c r="E174" s="1">
        <v>0.1</v>
      </c>
      <c r="F174" s="1" t="s">
        <v>14</v>
      </c>
    </row>
    <row r="175">
      <c r="A175" s="1" t="s">
        <v>197</v>
      </c>
      <c r="B175" s="1">
        <v>36.0</v>
      </c>
      <c r="C175" s="1">
        <v>2.0</v>
      </c>
      <c r="D175" s="1">
        <v>19.0</v>
      </c>
      <c r="E175" s="1">
        <v>1.3</v>
      </c>
      <c r="F175" s="1" t="s">
        <v>18</v>
      </c>
    </row>
    <row r="176">
      <c r="A176" s="1" t="s">
        <v>198</v>
      </c>
      <c r="B176" s="1">
        <v>36.0</v>
      </c>
      <c r="C176" s="1">
        <v>21.0</v>
      </c>
      <c r="D176" s="1">
        <v>5.0</v>
      </c>
      <c r="E176" s="1">
        <v>1.1</v>
      </c>
      <c r="F176" s="1" t="s">
        <v>28</v>
      </c>
    </row>
    <row r="177">
      <c r="A177" s="1" t="s">
        <v>199</v>
      </c>
      <c r="B177" s="1">
        <v>197.0</v>
      </c>
      <c r="C177" s="1">
        <v>156.0</v>
      </c>
      <c r="D177" s="1">
        <v>7.0</v>
      </c>
      <c r="E177" s="1">
        <v>6.4</v>
      </c>
      <c r="F177" s="1" t="s">
        <v>23</v>
      </c>
    </row>
    <row r="178">
      <c r="A178" s="1" t="s">
        <v>200</v>
      </c>
      <c r="B178" s="1">
        <v>51.0</v>
      </c>
      <c r="C178" s="1">
        <v>3.0</v>
      </c>
      <c r="D178" s="1">
        <v>20.0</v>
      </c>
      <c r="E178" s="1">
        <v>1.3</v>
      </c>
      <c r="F178" s="1" t="s">
        <v>18</v>
      </c>
    </row>
    <row r="179">
      <c r="A179" s="1" t="s">
        <v>201</v>
      </c>
      <c r="B179" s="1">
        <v>51.0</v>
      </c>
      <c r="C179" s="1">
        <v>22.0</v>
      </c>
      <c r="D179" s="1">
        <v>7.0</v>
      </c>
      <c r="E179" s="1">
        <v>1.4</v>
      </c>
      <c r="F179" s="1" t="s">
        <v>14</v>
      </c>
    </row>
    <row r="180">
      <c r="A180" s="1" t="s">
        <v>202</v>
      </c>
      <c r="B180" s="1">
        <v>19.0</v>
      </c>
      <c r="C180" s="1">
        <v>71.0</v>
      </c>
      <c r="D180" s="1">
        <v>32.0</v>
      </c>
      <c r="E180" s="1">
        <v>2.2</v>
      </c>
      <c r="F180" s="1" t="s">
        <v>14</v>
      </c>
    </row>
    <row r="181">
      <c r="A181" s="1" t="s">
        <v>203</v>
      </c>
      <c r="B181" s="1">
        <v>6.0</v>
      </c>
      <c r="C181" s="1">
        <v>41.0</v>
      </c>
      <c r="D181" s="1">
        <v>9.0</v>
      </c>
      <c r="E181" s="1">
        <v>1.0</v>
      </c>
      <c r="F181" s="1" t="s">
        <v>28</v>
      </c>
    </row>
    <row r="182">
      <c r="A182" s="1" t="s">
        <v>204</v>
      </c>
      <c r="B182" s="1">
        <v>45.0</v>
      </c>
      <c r="C182" s="1">
        <v>9.0</v>
      </c>
      <c r="D182" s="1">
        <v>0.0</v>
      </c>
      <c r="E182" s="1">
        <v>8.3</v>
      </c>
      <c r="F182" s="1" t="s">
        <v>18</v>
      </c>
    </row>
    <row r="183">
      <c r="A183" s="1" t="s">
        <v>205</v>
      </c>
      <c r="B183" s="1">
        <v>206.0</v>
      </c>
      <c r="C183" s="1">
        <v>237.0</v>
      </c>
      <c r="D183" s="1">
        <v>45.0</v>
      </c>
      <c r="E183" s="1">
        <v>8.9</v>
      </c>
      <c r="F183" s="1" t="s">
        <v>16</v>
      </c>
    </row>
    <row r="184">
      <c r="A184" s="1" t="s">
        <v>206</v>
      </c>
      <c r="B184" s="1">
        <v>16.0</v>
      </c>
      <c r="C184" s="1">
        <v>135.0</v>
      </c>
      <c r="D184" s="1">
        <v>5.0</v>
      </c>
      <c r="E184" s="1">
        <v>2.8</v>
      </c>
      <c r="F184" s="1" t="s">
        <v>14</v>
      </c>
    </row>
    <row r="185">
      <c r="A185" s="1" t="s">
        <v>207</v>
      </c>
      <c r="B185" s="1">
        <v>219.0</v>
      </c>
      <c r="C185" s="1">
        <v>126.0</v>
      </c>
      <c r="D185" s="1">
        <v>195.0</v>
      </c>
      <c r="E185" s="1">
        <v>10.4</v>
      </c>
      <c r="F185" s="1" t="s">
        <v>16</v>
      </c>
    </row>
    <row r="186">
      <c r="A186" s="1" t="s">
        <v>194</v>
      </c>
      <c r="B186" s="1">
        <v>36.0</v>
      </c>
      <c r="C186" s="1">
        <v>6.0</v>
      </c>
      <c r="D186" s="1">
        <v>1.0</v>
      </c>
      <c r="E186" s="1">
        <v>5.7</v>
      </c>
      <c r="F186" s="1" t="s">
        <v>18</v>
      </c>
    </row>
    <row r="187">
      <c r="A187" s="1" t="s">
        <v>209</v>
      </c>
      <c r="B187" s="1">
        <v>249.0</v>
      </c>
      <c r="C187" s="1">
        <v>158.0</v>
      </c>
      <c r="D187" s="1">
        <v>84.0</v>
      </c>
      <c r="E187" s="1">
        <v>8.7</v>
      </c>
      <c r="F187" s="1" t="s">
        <v>23</v>
      </c>
    </row>
    <row r="188">
      <c r="A188" s="1" t="s">
        <v>208</v>
      </c>
      <c r="B188" s="1">
        <v>115.0</v>
      </c>
      <c r="C188" s="1">
        <v>35.0</v>
      </c>
      <c r="D188" s="1">
        <v>220.0</v>
      </c>
      <c r="E188" s="1">
        <v>6.6</v>
      </c>
      <c r="F188" s="1" t="s">
        <v>25</v>
      </c>
    </row>
    <row r="189">
      <c r="A189" s="1" t="s">
        <v>210</v>
      </c>
      <c r="B189" s="1">
        <v>25.0</v>
      </c>
      <c r="C189" s="1">
        <v>101.0</v>
      </c>
      <c r="D189" s="1">
        <v>8.0</v>
      </c>
      <c r="E189" s="1">
        <v>2.4</v>
      </c>
      <c r="F189" s="1" t="s">
        <v>14</v>
      </c>
    </row>
    <row r="190">
      <c r="A190" s="1" t="s">
        <v>211</v>
      </c>
      <c r="B190" s="1">
        <v>21.0</v>
      </c>
      <c r="C190" s="1">
        <v>18.0</v>
      </c>
      <c r="D190" s="1">
        <v>11.0</v>
      </c>
      <c r="E190" s="1">
        <v>0.9</v>
      </c>
      <c r="F190" s="1" t="s">
        <v>28</v>
      </c>
    </row>
    <row r="191">
      <c r="A191" s="1" t="s">
        <v>212</v>
      </c>
      <c r="B191" s="1">
        <v>333.0</v>
      </c>
      <c r="C191" s="1">
        <v>100.0</v>
      </c>
      <c r="D191" s="1">
        <v>3.0</v>
      </c>
      <c r="E191" s="1">
        <v>7.7</v>
      </c>
      <c r="F191" s="1" t="s">
        <v>25</v>
      </c>
    </row>
    <row r="192">
      <c r="A192" s="1" t="s">
        <v>213</v>
      </c>
      <c r="B192" s="1">
        <v>111.0</v>
      </c>
      <c r="C192" s="1">
        <v>2.0</v>
      </c>
      <c r="D192" s="1">
        <v>1.0</v>
      </c>
      <c r="E192" s="1">
        <v>2.0</v>
      </c>
      <c r="F192" s="1" t="s">
        <v>14</v>
      </c>
    </row>
    <row r="193">
      <c r="A193" s="1" t="s">
        <v>214</v>
      </c>
      <c r="B193" s="1">
        <v>6.0</v>
      </c>
      <c r="C193" s="1">
        <v>0.0</v>
      </c>
      <c r="D193" s="1">
        <v>0.0</v>
      </c>
      <c r="E193" s="1">
        <v>0.1</v>
      </c>
      <c r="F193" s="1" t="s">
        <v>14</v>
      </c>
    </row>
    <row r="194">
      <c r="A194" s="1" t="s">
        <v>215</v>
      </c>
      <c r="B194" s="1">
        <v>32.0</v>
      </c>
      <c r="C194" s="1">
        <v>19.0</v>
      </c>
      <c r="D194" s="1">
        <v>4.0</v>
      </c>
      <c r="E194" s="1">
        <v>2.5</v>
      </c>
      <c r="F194" s="1" t="s">
        <v>18</v>
      </c>
    </row>
    <row r="195">
      <c r="A195" s="1" t="s">
        <v>216</v>
      </c>
      <c r="B195" s="1">
        <v>64.0</v>
      </c>
      <c r="C195" s="1">
        <v>18.0</v>
      </c>
      <c r="D195" s="1">
        <v>4.0</v>
      </c>
      <c r="E195" s="1">
        <v>4.7</v>
      </c>
      <c r="F195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32.13"/>
  </cols>
  <sheetData>
    <row r="1">
      <c r="A1" s="1" t="s">
        <v>4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2" t="s">
        <v>13</v>
      </c>
      <c r="H1" s="2" t="s">
        <v>13</v>
      </c>
      <c r="I1" s="2" t="s">
        <v>13</v>
      </c>
      <c r="J1" s="2" t="s">
        <v>13</v>
      </c>
      <c r="K1" s="2" t="s">
        <v>13</v>
      </c>
    </row>
    <row r="2">
      <c r="A2" s="1" t="s">
        <v>12</v>
      </c>
      <c r="B2" s="1">
        <v>0.0</v>
      </c>
      <c r="C2" s="1">
        <v>0.0</v>
      </c>
      <c r="D2" s="1">
        <v>0.0</v>
      </c>
      <c r="E2" s="1">
        <v>0.0</v>
      </c>
      <c r="F2" s="1" t="s">
        <v>14</v>
      </c>
      <c r="G2" s="1" t="s">
        <v>19</v>
      </c>
      <c r="K2" s="1"/>
    </row>
    <row r="3">
      <c r="A3" s="1" t="s">
        <v>15</v>
      </c>
      <c r="B3" s="1">
        <v>89.0</v>
      </c>
      <c r="C3" s="1">
        <v>132.0</v>
      </c>
      <c r="D3" s="1">
        <v>54.0</v>
      </c>
      <c r="E3" s="1">
        <v>4.9</v>
      </c>
      <c r="F3" s="1" t="s">
        <v>16</v>
      </c>
      <c r="G3" s="2">
        <f>CORREL(B2:B999,$E2:E999)</f>
        <v>0.8358386279</v>
      </c>
      <c r="H3" s="2">
        <f>CORREL(C2:C999,$E2:E999)</f>
        <v>0.6549681751</v>
      </c>
      <c r="I3" s="2">
        <f t="shared" ref="I3:J3" si="1">CORREL(D2:D999,$E2:$E999)</f>
        <v>0.6675983418</v>
      </c>
      <c r="J3" s="2">
        <f t="shared" si="1"/>
        <v>1</v>
      </c>
    </row>
    <row r="4">
      <c r="A4" s="1" t="s">
        <v>17</v>
      </c>
      <c r="B4" s="1">
        <v>25.0</v>
      </c>
      <c r="C4" s="1">
        <v>0.0</v>
      </c>
      <c r="D4" s="1">
        <v>14.0</v>
      </c>
      <c r="E4" s="1">
        <v>0.7</v>
      </c>
      <c r="F4" s="1" t="s">
        <v>18</v>
      </c>
      <c r="G4" s="1" t="s">
        <v>32</v>
      </c>
    </row>
    <row r="5">
      <c r="A5" s="1" t="s">
        <v>20</v>
      </c>
      <c r="B5" s="1">
        <v>245.0</v>
      </c>
      <c r="C5" s="1">
        <v>138.0</v>
      </c>
      <c r="D5" s="1">
        <v>312.0</v>
      </c>
      <c r="E5" s="1">
        <v>12.4</v>
      </c>
      <c r="F5" s="1" t="s">
        <v>16</v>
      </c>
      <c r="G5" s="1"/>
    </row>
    <row r="6">
      <c r="A6" s="1" t="s">
        <v>21</v>
      </c>
      <c r="B6" s="1">
        <v>217.0</v>
      </c>
      <c r="C6" s="1">
        <v>57.0</v>
      </c>
      <c r="D6" s="1">
        <v>45.0</v>
      </c>
      <c r="E6" s="1">
        <v>5.9</v>
      </c>
      <c r="F6" s="1" t="s">
        <v>18</v>
      </c>
    </row>
    <row r="7">
      <c r="A7" s="1" t="s">
        <v>22</v>
      </c>
      <c r="B7" s="1">
        <v>102.0</v>
      </c>
      <c r="C7" s="1">
        <v>128.0</v>
      </c>
      <c r="D7" s="1">
        <v>45.0</v>
      </c>
      <c r="E7" s="1">
        <v>4.9</v>
      </c>
      <c r="F7" s="1" t="s">
        <v>23</v>
      </c>
    </row>
    <row r="8">
      <c r="A8" s="1" t="s">
        <v>24</v>
      </c>
      <c r="B8" s="1">
        <v>193.0</v>
      </c>
      <c r="C8" s="1">
        <v>25.0</v>
      </c>
      <c r="D8" s="1">
        <v>221.0</v>
      </c>
      <c r="E8" s="1">
        <v>8.3</v>
      </c>
      <c r="F8" s="1" t="s">
        <v>25</v>
      </c>
    </row>
    <row r="9">
      <c r="A9" s="1" t="s">
        <v>26</v>
      </c>
      <c r="B9" s="1">
        <v>21.0</v>
      </c>
      <c r="C9" s="1">
        <v>179.0</v>
      </c>
      <c r="D9" s="1">
        <v>11.0</v>
      </c>
      <c r="E9" s="1">
        <v>3.8</v>
      </c>
      <c r="F9" s="1" t="s">
        <v>16</v>
      </c>
    </row>
    <row r="10">
      <c r="A10" s="1" t="s">
        <v>27</v>
      </c>
      <c r="B10" s="1">
        <v>261.0</v>
      </c>
      <c r="C10" s="1">
        <v>72.0</v>
      </c>
      <c r="D10" s="1">
        <v>212.0</v>
      </c>
      <c r="E10" s="1">
        <v>10.4</v>
      </c>
      <c r="F10" s="1" t="s">
        <v>28</v>
      </c>
    </row>
    <row r="11">
      <c r="A11" s="1" t="s">
        <v>29</v>
      </c>
      <c r="B11" s="1">
        <v>279.0</v>
      </c>
      <c r="C11" s="1">
        <v>75.0</v>
      </c>
      <c r="D11" s="1">
        <v>191.0</v>
      </c>
      <c r="E11" s="1">
        <v>9.7</v>
      </c>
      <c r="F11" s="1" t="s">
        <v>16</v>
      </c>
    </row>
    <row r="12">
      <c r="A12" s="1" t="s">
        <v>30</v>
      </c>
      <c r="B12" s="1">
        <v>21.0</v>
      </c>
      <c r="C12" s="1">
        <v>46.0</v>
      </c>
      <c r="D12" s="1">
        <v>5.0</v>
      </c>
      <c r="E12" s="1">
        <v>1.3</v>
      </c>
      <c r="F12" s="1" t="s">
        <v>16</v>
      </c>
    </row>
    <row r="13">
      <c r="A13" s="1" t="s">
        <v>31</v>
      </c>
      <c r="B13" s="1">
        <v>122.0</v>
      </c>
      <c r="C13" s="1">
        <v>176.0</v>
      </c>
      <c r="D13" s="1">
        <v>51.0</v>
      </c>
      <c r="E13" s="1">
        <v>6.3</v>
      </c>
      <c r="F13" s="1" t="s">
        <v>23</v>
      </c>
    </row>
    <row r="14">
      <c r="A14" s="1" t="s">
        <v>33</v>
      </c>
      <c r="B14" s="1">
        <v>42.0</v>
      </c>
      <c r="C14" s="1">
        <v>63.0</v>
      </c>
      <c r="D14" s="1">
        <v>7.0</v>
      </c>
      <c r="E14" s="1">
        <v>2.0</v>
      </c>
      <c r="F14" s="1" t="s">
        <v>14</v>
      </c>
    </row>
    <row r="15">
      <c r="A15" s="1" t="s">
        <v>34</v>
      </c>
      <c r="B15" s="1">
        <v>0.0</v>
      </c>
      <c r="C15" s="1">
        <v>0.0</v>
      </c>
      <c r="D15" s="1">
        <v>0.0</v>
      </c>
      <c r="E15" s="1">
        <v>0.0</v>
      </c>
      <c r="F15" s="1" t="s">
        <v>14</v>
      </c>
    </row>
    <row r="16">
      <c r="A16" s="1" t="s">
        <v>35</v>
      </c>
      <c r="B16" s="1">
        <v>143.0</v>
      </c>
      <c r="C16" s="1">
        <v>173.0</v>
      </c>
      <c r="D16" s="1">
        <v>36.0</v>
      </c>
      <c r="E16" s="1">
        <v>6.3</v>
      </c>
      <c r="F16" s="1" t="s">
        <v>23</v>
      </c>
    </row>
    <row r="17">
      <c r="A17" s="1" t="s">
        <v>36</v>
      </c>
      <c r="B17" s="1">
        <v>142.0</v>
      </c>
      <c r="C17" s="1">
        <v>373.0</v>
      </c>
      <c r="D17" s="1">
        <v>42.0</v>
      </c>
      <c r="E17" s="1">
        <v>14.4</v>
      </c>
      <c r="F17" s="1" t="s">
        <v>16</v>
      </c>
    </row>
    <row r="18">
      <c r="A18" s="1" t="s">
        <v>37</v>
      </c>
      <c r="B18" s="1">
        <v>295.0</v>
      </c>
      <c r="C18" s="1">
        <v>84.0</v>
      </c>
      <c r="D18" s="1">
        <v>212.0</v>
      </c>
      <c r="E18" s="1">
        <v>10.5</v>
      </c>
      <c r="F18" s="1" t="s">
        <v>16</v>
      </c>
    </row>
    <row r="19">
      <c r="A19" s="1" t="s">
        <v>38</v>
      </c>
      <c r="B19" s="1">
        <v>263.0</v>
      </c>
      <c r="C19" s="1">
        <v>114.0</v>
      </c>
      <c r="D19" s="1">
        <v>8.0</v>
      </c>
      <c r="E19" s="1">
        <v>6.8</v>
      </c>
      <c r="F19" s="1" t="s">
        <v>23</v>
      </c>
    </row>
    <row r="20">
      <c r="A20" s="1" t="s">
        <v>39</v>
      </c>
      <c r="B20" s="1">
        <v>34.0</v>
      </c>
      <c r="C20" s="1">
        <v>4.0</v>
      </c>
      <c r="D20" s="1">
        <v>13.0</v>
      </c>
      <c r="E20" s="1">
        <v>1.1</v>
      </c>
      <c r="F20" s="1" t="s">
        <v>18</v>
      </c>
    </row>
    <row r="21">
      <c r="A21" s="1" t="s">
        <v>40</v>
      </c>
      <c r="B21" s="1">
        <v>23.0</v>
      </c>
      <c r="C21" s="1">
        <v>0.0</v>
      </c>
      <c r="D21" s="1">
        <v>0.0</v>
      </c>
      <c r="E21" s="1">
        <v>0.4</v>
      </c>
      <c r="F21" s="1" t="s">
        <v>14</v>
      </c>
    </row>
    <row r="22">
      <c r="A22" s="1" t="s">
        <v>41</v>
      </c>
      <c r="B22" s="1">
        <v>167.0</v>
      </c>
      <c r="C22" s="1">
        <v>41.0</v>
      </c>
      <c r="D22" s="1">
        <v>8.0</v>
      </c>
      <c r="E22" s="1">
        <v>3.8</v>
      </c>
      <c r="F22" s="1" t="s">
        <v>25</v>
      </c>
    </row>
    <row r="23">
      <c r="A23" s="1" t="s">
        <v>42</v>
      </c>
      <c r="B23" s="1">
        <v>76.0</v>
      </c>
      <c r="C23" s="1">
        <v>173.0</v>
      </c>
      <c r="D23" s="1">
        <v>8.0</v>
      </c>
      <c r="E23" s="1">
        <v>4.6</v>
      </c>
      <c r="F23" s="1" t="s">
        <v>16</v>
      </c>
    </row>
    <row r="24">
      <c r="A24" s="1" t="s">
        <v>43</v>
      </c>
      <c r="B24" s="1">
        <v>173.0</v>
      </c>
      <c r="C24" s="1">
        <v>35.0</v>
      </c>
      <c r="D24" s="1">
        <v>35.0</v>
      </c>
      <c r="E24" s="1">
        <v>5.4</v>
      </c>
      <c r="F24" s="1" t="s">
        <v>18</v>
      </c>
    </row>
    <row r="25">
      <c r="A25" s="1" t="s">
        <v>44</v>
      </c>
      <c r="B25" s="1">
        <v>245.0</v>
      </c>
      <c r="C25" s="1">
        <v>145.0</v>
      </c>
      <c r="D25" s="1">
        <v>16.0</v>
      </c>
      <c r="E25" s="1">
        <v>7.2</v>
      </c>
      <c r="F25" s="1" t="s">
        <v>25</v>
      </c>
    </row>
    <row r="26">
      <c r="A26" s="1" t="s">
        <v>45</v>
      </c>
      <c r="B26" s="1">
        <v>31.0</v>
      </c>
      <c r="C26" s="1">
        <v>2.0</v>
      </c>
      <c r="D26" s="1">
        <v>1.0</v>
      </c>
      <c r="E26" s="1">
        <v>0.6</v>
      </c>
      <c r="F26" s="1" t="s">
        <v>14</v>
      </c>
    </row>
    <row r="27">
      <c r="A27" s="1" t="s">
        <v>46</v>
      </c>
      <c r="B27" s="1">
        <v>231.0</v>
      </c>
      <c r="C27" s="1">
        <v>252.0</v>
      </c>
      <c r="D27" s="1">
        <v>94.0</v>
      </c>
      <c r="E27" s="1">
        <v>10.3</v>
      </c>
      <c r="F27" s="1" t="s">
        <v>16</v>
      </c>
    </row>
    <row r="28">
      <c r="A28" s="1" t="s">
        <v>47</v>
      </c>
      <c r="B28" s="1">
        <v>25.0</v>
      </c>
      <c r="C28" s="1">
        <v>7.0</v>
      </c>
      <c r="D28" s="1">
        <v>7.0</v>
      </c>
      <c r="E28" s="1">
        <v>4.3</v>
      </c>
      <c r="F28" s="1" t="s">
        <v>18</v>
      </c>
    </row>
    <row r="29">
      <c r="A29" s="1" t="s">
        <v>48</v>
      </c>
      <c r="B29" s="1">
        <v>88.0</v>
      </c>
      <c r="C29" s="1">
        <v>0.0</v>
      </c>
      <c r="D29" s="1">
        <v>0.0</v>
      </c>
      <c r="E29" s="1">
        <v>6.3</v>
      </c>
      <c r="F29" s="1" t="s">
        <v>18</v>
      </c>
    </row>
    <row r="30">
      <c r="A30" s="1" t="s">
        <v>49</v>
      </c>
      <c r="B30" s="1">
        <v>37.0</v>
      </c>
      <c r="C30" s="1">
        <v>1.0</v>
      </c>
      <c r="D30" s="1">
        <v>7.0</v>
      </c>
      <c r="E30" s="1">
        <v>4.0</v>
      </c>
      <c r="F30" s="1" t="s">
        <v>18</v>
      </c>
    </row>
    <row r="31">
      <c r="A31" s="1" t="s">
        <v>50</v>
      </c>
      <c r="B31" s="1">
        <v>144.0</v>
      </c>
      <c r="C31" s="1">
        <v>56.0</v>
      </c>
      <c r="D31" s="1">
        <v>16.0</v>
      </c>
      <c r="E31" s="1">
        <v>4.0</v>
      </c>
      <c r="F31" s="1" t="s">
        <v>18</v>
      </c>
    </row>
    <row r="32">
      <c r="A32" s="1" t="s">
        <v>51</v>
      </c>
      <c r="B32" s="1">
        <v>57.0</v>
      </c>
      <c r="C32" s="1">
        <v>65.0</v>
      </c>
      <c r="D32" s="1">
        <v>1.0</v>
      </c>
      <c r="E32" s="1">
        <v>2.2</v>
      </c>
      <c r="F32" s="1" t="s">
        <v>14</v>
      </c>
    </row>
    <row r="33">
      <c r="A33" s="1" t="s">
        <v>52</v>
      </c>
      <c r="B33" s="1">
        <v>147.0</v>
      </c>
      <c r="C33" s="1">
        <v>1.0</v>
      </c>
      <c r="D33" s="1">
        <v>4.0</v>
      </c>
      <c r="E33" s="1">
        <v>5.8</v>
      </c>
      <c r="F33" s="1" t="s">
        <v>18</v>
      </c>
    </row>
    <row r="34">
      <c r="A34" s="1" t="s">
        <v>53</v>
      </c>
      <c r="B34" s="1">
        <v>240.0</v>
      </c>
      <c r="C34" s="1">
        <v>122.0</v>
      </c>
      <c r="D34" s="1">
        <v>100.0</v>
      </c>
      <c r="E34" s="1">
        <v>8.2</v>
      </c>
      <c r="F34" s="1" t="s">
        <v>23</v>
      </c>
      <c r="H34" s="1"/>
    </row>
    <row r="35">
      <c r="A35" s="1" t="s">
        <v>54</v>
      </c>
      <c r="B35" s="1">
        <v>17.0</v>
      </c>
      <c r="C35" s="1">
        <v>2.0</v>
      </c>
      <c r="D35" s="1">
        <v>1.0</v>
      </c>
      <c r="E35" s="1">
        <v>1.8</v>
      </c>
      <c r="F35" s="1" t="s">
        <v>18</v>
      </c>
    </row>
    <row r="36">
      <c r="A36" s="1" t="s">
        <v>55</v>
      </c>
      <c r="B36" s="1">
        <v>15.0</v>
      </c>
      <c r="C36" s="1">
        <v>1.0</v>
      </c>
      <c r="D36" s="1">
        <v>1.0</v>
      </c>
      <c r="E36" s="1">
        <v>0.4</v>
      </c>
      <c r="F36" s="1" t="s">
        <v>18</v>
      </c>
    </row>
    <row r="37">
      <c r="A37" s="1" t="s">
        <v>56</v>
      </c>
      <c r="B37" s="1">
        <v>130.0</v>
      </c>
      <c r="C37" s="1">
        <v>124.0</v>
      </c>
      <c r="D37" s="1">
        <v>172.0</v>
      </c>
      <c r="E37" s="1">
        <v>7.6</v>
      </c>
      <c r="F37" s="1" t="s">
        <v>25</v>
      </c>
    </row>
    <row r="38">
      <c r="A38" s="1" t="s">
        <v>57</v>
      </c>
      <c r="B38" s="1">
        <v>79.0</v>
      </c>
      <c r="C38" s="1">
        <v>192.0</v>
      </c>
      <c r="D38" s="1">
        <v>8.0</v>
      </c>
      <c r="E38" s="1">
        <v>5.0</v>
      </c>
      <c r="F38" s="1" t="s">
        <v>14</v>
      </c>
    </row>
    <row r="39">
      <c r="A39" s="1" t="s">
        <v>58</v>
      </c>
      <c r="B39" s="1">
        <v>159.0</v>
      </c>
      <c r="C39" s="1">
        <v>76.0</v>
      </c>
      <c r="D39" s="1">
        <v>3.0</v>
      </c>
      <c r="E39" s="1">
        <v>4.2</v>
      </c>
      <c r="F39" s="1" t="s">
        <v>25</v>
      </c>
    </row>
    <row r="40">
      <c r="A40" s="1" t="s">
        <v>59</v>
      </c>
      <c r="B40" s="1">
        <v>1.0</v>
      </c>
      <c r="C40" s="1">
        <v>3.0</v>
      </c>
      <c r="D40" s="1">
        <v>1.0</v>
      </c>
      <c r="E40" s="1">
        <v>0.1</v>
      </c>
      <c r="F40" s="1" t="s">
        <v>18</v>
      </c>
    </row>
    <row r="41">
      <c r="A41" s="1" t="s">
        <v>60</v>
      </c>
      <c r="B41" s="1">
        <v>76.0</v>
      </c>
      <c r="C41" s="1">
        <v>1.0</v>
      </c>
      <c r="D41" s="1">
        <v>9.0</v>
      </c>
      <c r="E41" s="1">
        <v>1.7</v>
      </c>
      <c r="F41" s="1" t="s">
        <v>18</v>
      </c>
    </row>
    <row r="42">
      <c r="A42" s="1" t="s">
        <v>61</v>
      </c>
      <c r="B42" s="1">
        <v>0.0</v>
      </c>
      <c r="C42" s="1">
        <v>254.0</v>
      </c>
      <c r="D42" s="1">
        <v>74.0</v>
      </c>
      <c r="E42" s="1">
        <v>5.9</v>
      </c>
      <c r="F42" s="1" t="s">
        <v>28</v>
      </c>
    </row>
    <row r="43">
      <c r="A43" s="1" t="s">
        <v>62</v>
      </c>
      <c r="B43" s="1">
        <v>149.0</v>
      </c>
      <c r="C43" s="1">
        <v>87.0</v>
      </c>
      <c r="D43" s="1">
        <v>11.0</v>
      </c>
      <c r="E43" s="1">
        <v>4.4</v>
      </c>
      <c r="F43" s="1" t="s">
        <v>23</v>
      </c>
    </row>
    <row r="44">
      <c r="A44" s="1" t="s">
        <v>63</v>
      </c>
      <c r="B44" s="1">
        <v>230.0</v>
      </c>
      <c r="C44" s="1">
        <v>87.0</v>
      </c>
      <c r="D44" s="1">
        <v>254.0</v>
      </c>
      <c r="E44" s="1">
        <v>10.2</v>
      </c>
      <c r="F44" s="1" t="s">
        <v>16</v>
      </c>
    </row>
    <row r="45">
      <c r="A45" s="1" t="s">
        <v>64</v>
      </c>
      <c r="B45" s="1">
        <v>93.0</v>
      </c>
      <c r="C45" s="1">
        <v>137.0</v>
      </c>
      <c r="D45" s="1">
        <v>5.0</v>
      </c>
      <c r="E45" s="1">
        <v>4.2</v>
      </c>
      <c r="F45" s="1" t="s">
        <v>23</v>
      </c>
    </row>
    <row r="46">
      <c r="A46" s="1" t="s">
        <v>65</v>
      </c>
      <c r="B46" s="1">
        <v>192.0</v>
      </c>
      <c r="C46" s="1">
        <v>154.0</v>
      </c>
      <c r="D46" s="1">
        <v>113.0</v>
      </c>
      <c r="E46" s="1">
        <v>8.2</v>
      </c>
      <c r="F46" s="1" t="s">
        <v>16</v>
      </c>
    </row>
    <row r="47">
      <c r="A47" s="1" t="s">
        <v>66</v>
      </c>
      <c r="B47" s="1">
        <v>361.0</v>
      </c>
      <c r="C47" s="1">
        <v>170.0</v>
      </c>
      <c r="D47" s="1">
        <v>134.0</v>
      </c>
      <c r="E47" s="1">
        <v>11.8</v>
      </c>
      <c r="F47" s="1" t="s">
        <v>16</v>
      </c>
    </row>
    <row r="48">
      <c r="A48" s="1" t="s">
        <v>67</v>
      </c>
      <c r="B48" s="1">
        <v>0.0</v>
      </c>
      <c r="C48" s="1">
        <v>0.0</v>
      </c>
      <c r="D48" s="1">
        <v>0.0</v>
      </c>
      <c r="E48" s="1">
        <v>0.0</v>
      </c>
      <c r="F48" s="1" t="s">
        <v>14</v>
      </c>
    </row>
    <row r="49">
      <c r="A49" s="1" t="s">
        <v>68</v>
      </c>
      <c r="B49" s="1">
        <v>32.0</v>
      </c>
      <c r="C49" s="1">
        <v>3.0</v>
      </c>
      <c r="D49" s="1">
        <v>1.0</v>
      </c>
      <c r="E49" s="1">
        <v>2.3</v>
      </c>
      <c r="F49" s="1" t="s">
        <v>18</v>
      </c>
    </row>
    <row r="50">
      <c r="A50" s="1" t="s">
        <v>69</v>
      </c>
      <c r="B50" s="1">
        <v>224.0</v>
      </c>
      <c r="C50" s="1">
        <v>81.0</v>
      </c>
      <c r="D50" s="1">
        <v>278.0</v>
      </c>
      <c r="E50" s="1">
        <v>10.4</v>
      </c>
      <c r="F50" s="1" t="s">
        <v>16</v>
      </c>
    </row>
    <row r="51">
      <c r="A51" s="1" t="s">
        <v>70</v>
      </c>
      <c r="B51" s="1">
        <v>15.0</v>
      </c>
      <c r="C51" s="1">
        <v>44.0</v>
      </c>
      <c r="D51" s="1">
        <v>3.0</v>
      </c>
      <c r="E51" s="1">
        <v>1.1</v>
      </c>
      <c r="F51" s="1" t="s">
        <v>18</v>
      </c>
    </row>
    <row r="52">
      <c r="A52" s="1" t="s">
        <v>71</v>
      </c>
      <c r="B52" s="1">
        <v>52.0</v>
      </c>
      <c r="C52" s="1">
        <v>286.0</v>
      </c>
      <c r="D52" s="1">
        <v>26.0</v>
      </c>
      <c r="E52" s="1">
        <v>6.6</v>
      </c>
      <c r="F52" s="1" t="s">
        <v>23</v>
      </c>
    </row>
    <row r="53">
      <c r="A53" s="1" t="s">
        <v>72</v>
      </c>
      <c r="B53" s="1">
        <v>193.0</v>
      </c>
      <c r="C53" s="1">
        <v>147.0</v>
      </c>
      <c r="D53" s="1">
        <v>9.0</v>
      </c>
      <c r="E53" s="1">
        <v>6.2</v>
      </c>
      <c r="F53" s="1" t="s">
        <v>23</v>
      </c>
    </row>
    <row r="54">
      <c r="A54" s="1" t="s">
        <v>73</v>
      </c>
      <c r="B54" s="1">
        <v>162.0</v>
      </c>
      <c r="C54" s="1">
        <v>74.0</v>
      </c>
      <c r="D54" s="1">
        <v>3.0</v>
      </c>
      <c r="E54" s="1">
        <v>4.2</v>
      </c>
      <c r="F54" s="1" t="s">
        <v>25</v>
      </c>
    </row>
    <row r="55">
      <c r="A55" s="1" t="s">
        <v>74</v>
      </c>
      <c r="B55" s="1">
        <v>6.0</v>
      </c>
      <c r="C55" s="1">
        <v>4.0</v>
      </c>
      <c r="D55" s="1">
        <v>1.0</v>
      </c>
      <c r="E55" s="1">
        <v>0.2</v>
      </c>
      <c r="F55" s="1" t="s">
        <v>18</v>
      </c>
    </row>
    <row r="56">
      <c r="A56" s="1" t="s">
        <v>75</v>
      </c>
      <c r="B56" s="1">
        <v>52.0</v>
      </c>
      <c r="C56" s="1">
        <v>69.0</v>
      </c>
      <c r="D56" s="1">
        <v>2.0</v>
      </c>
      <c r="E56" s="1">
        <v>2.2</v>
      </c>
      <c r="F56" s="1" t="s">
        <v>23</v>
      </c>
    </row>
    <row r="57">
      <c r="A57" s="1" t="s">
        <v>76</v>
      </c>
      <c r="B57" s="1">
        <v>92.0</v>
      </c>
      <c r="C57" s="1">
        <v>0.0</v>
      </c>
      <c r="D57" s="1">
        <v>233.0</v>
      </c>
      <c r="E57" s="1">
        <v>5.8</v>
      </c>
      <c r="F57" s="1" t="s">
        <v>18</v>
      </c>
    </row>
    <row r="58">
      <c r="A58" s="1" t="s">
        <v>77</v>
      </c>
      <c r="B58" s="1">
        <v>18.0</v>
      </c>
      <c r="C58" s="1">
        <v>0.0</v>
      </c>
      <c r="D58" s="1">
        <v>0.0</v>
      </c>
      <c r="E58" s="1">
        <v>0.5</v>
      </c>
      <c r="F58" s="1" t="s">
        <v>18</v>
      </c>
    </row>
    <row r="59">
      <c r="A59" s="1" t="s">
        <v>78</v>
      </c>
      <c r="B59" s="1">
        <v>224.0</v>
      </c>
      <c r="C59" s="1">
        <v>194.0</v>
      </c>
      <c r="D59" s="1">
        <v>59.0</v>
      </c>
      <c r="E59" s="1">
        <v>9.5</v>
      </c>
      <c r="F59" s="1" t="s">
        <v>16</v>
      </c>
    </row>
    <row r="60">
      <c r="A60" s="1" t="s">
        <v>79</v>
      </c>
      <c r="B60" s="1">
        <v>20.0</v>
      </c>
      <c r="C60" s="1">
        <v>3.0</v>
      </c>
      <c r="D60" s="1">
        <v>0.0</v>
      </c>
      <c r="E60" s="1">
        <v>0.7</v>
      </c>
      <c r="F60" s="1" t="s">
        <v>18</v>
      </c>
    </row>
    <row r="61">
      <c r="A61" s="1" t="s">
        <v>80</v>
      </c>
      <c r="B61" s="1">
        <v>77.0</v>
      </c>
      <c r="C61" s="1">
        <v>35.0</v>
      </c>
      <c r="D61" s="1">
        <v>1.0</v>
      </c>
      <c r="E61" s="1">
        <v>2.0</v>
      </c>
      <c r="F61" s="1" t="s">
        <v>28</v>
      </c>
    </row>
    <row r="62">
      <c r="A62" s="1" t="s">
        <v>81</v>
      </c>
      <c r="B62" s="1">
        <v>263.0</v>
      </c>
      <c r="C62" s="1">
        <v>133.0</v>
      </c>
      <c r="D62" s="1">
        <v>97.0</v>
      </c>
      <c r="E62" s="1">
        <v>10.0</v>
      </c>
      <c r="F62" s="1" t="s">
        <v>16</v>
      </c>
    </row>
    <row r="63">
      <c r="A63" s="1" t="s">
        <v>82</v>
      </c>
      <c r="B63" s="1">
        <v>127.0</v>
      </c>
      <c r="C63" s="1">
        <v>151.0</v>
      </c>
      <c r="D63" s="1">
        <v>370.0</v>
      </c>
      <c r="E63" s="1">
        <v>11.8</v>
      </c>
      <c r="F63" s="1" t="s">
        <v>16</v>
      </c>
    </row>
    <row r="64">
      <c r="A64" s="1" t="s">
        <v>83</v>
      </c>
      <c r="B64" s="1">
        <v>347.0</v>
      </c>
      <c r="C64" s="1">
        <v>98.0</v>
      </c>
      <c r="D64" s="1">
        <v>59.0</v>
      </c>
      <c r="E64" s="1">
        <v>8.9</v>
      </c>
      <c r="F64" s="1" t="s">
        <v>18</v>
      </c>
    </row>
    <row r="65">
      <c r="A65" s="1" t="s">
        <v>86</v>
      </c>
      <c r="B65" s="1">
        <v>8.0</v>
      </c>
      <c r="C65" s="1">
        <v>0.0</v>
      </c>
      <c r="D65" s="1">
        <v>1.0</v>
      </c>
      <c r="E65" s="1">
        <v>2.4</v>
      </c>
      <c r="F65" s="1" t="s">
        <v>18</v>
      </c>
    </row>
    <row r="66">
      <c r="A66" s="1" t="s">
        <v>87</v>
      </c>
      <c r="B66" s="1">
        <v>52.0</v>
      </c>
      <c r="C66" s="1">
        <v>100.0</v>
      </c>
      <c r="D66" s="1">
        <v>149.0</v>
      </c>
      <c r="E66" s="1">
        <v>5.4</v>
      </c>
      <c r="F66" s="1" t="s">
        <v>16</v>
      </c>
    </row>
    <row r="67">
      <c r="A67" s="1" t="s">
        <v>88</v>
      </c>
      <c r="B67" s="1">
        <v>346.0</v>
      </c>
      <c r="C67" s="1">
        <v>117.0</v>
      </c>
      <c r="D67" s="1">
        <v>175.0</v>
      </c>
      <c r="E67" s="1">
        <v>11.3</v>
      </c>
      <c r="F67" s="1" t="s">
        <v>16</v>
      </c>
    </row>
    <row r="68">
      <c r="A68" s="1" t="s">
        <v>89</v>
      </c>
      <c r="B68" s="1">
        <v>31.0</v>
      </c>
      <c r="C68" s="1">
        <v>3.0</v>
      </c>
      <c r="D68" s="1">
        <v>10.0</v>
      </c>
      <c r="E68" s="1">
        <v>1.8</v>
      </c>
      <c r="F68" s="1" t="s">
        <v>18</v>
      </c>
    </row>
    <row r="69">
      <c r="A69" s="1" t="s">
        <v>90</v>
      </c>
      <c r="B69" s="1">
        <v>133.0</v>
      </c>
      <c r="C69" s="1">
        <v>112.0</v>
      </c>
      <c r="D69" s="1">
        <v>218.0</v>
      </c>
      <c r="E69" s="1">
        <v>8.3</v>
      </c>
      <c r="F69" s="1" t="s">
        <v>16</v>
      </c>
    </row>
    <row r="70">
      <c r="A70" s="1" t="s">
        <v>91</v>
      </c>
      <c r="B70" s="1">
        <v>199.0</v>
      </c>
      <c r="C70" s="1">
        <v>438.0</v>
      </c>
      <c r="D70" s="1">
        <v>28.0</v>
      </c>
      <c r="E70" s="1">
        <v>11.9</v>
      </c>
      <c r="F70" s="1" t="s">
        <v>23</v>
      </c>
    </row>
    <row r="71">
      <c r="A71" s="1" t="s">
        <v>92</v>
      </c>
      <c r="B71" s="1">
        <v>53.0</v>
      </c>
      <c r="C71" s="1">
        <v>69.0</v>
      </c>
      <c r="D71" s="1">
        <v>2.0</v>
      </c>
      <c r="E71" s="1">
        <v>2.2</v>
      </c>
      <c r="F71" s="1" t="s">
        <v>23</v>
      </c>
    </row>
    <row r="72">
      <c r="A72" s="1" t="s">
        <v>93</v>
      </c>
      <c r="B72" s="1">
        <v>9.0</v>
      </c>
      <c r="C72" s="1">
        <v>0.0</v>
      </c>
      <c r="D72" s="1">
        <v>2.0</v>
      </c>
      <c r="E72" s="1">
        <v>0.2</v>
      </c>
      <c r="F72" s="1" t="s">
        <v>18</v>
      </c>
    </row>
    <row r="73">
      <c r="A73" s="1" t="s">
        <v>94</v>
      </c>
      <c r="B73" s="1">
        <v>28.0</v>
      </c>
      <c r="C73" s="1">
        <v>31.0</v>
      </c>
      <c r="D73" s="1">
        <v>21.0</v>
      </c>
      <c r="E73" s="1">
        <v>2.5</v>
      </c>
      <c r="F73" s="1" t="s">
        <v>18</v>
      </c>
    </row>
    <row r="74">
      <c r="A74" s="1" t="s">
        <v>95</v>
      </c>
      <c r="B74" s="1">
        <v>93.0</v>
      </c>
      <c r="C74" s="1">
        <v>302.0</v>
      </c>
      <c r="D74" s="1">
        <v>1.0</v>
      </c>
      <c r="E74" s="1">
        <v>7.1</v>
      </c>
      <c r="F74" s="1" t="s">
        <v>25</v>
      </c>
    </row>
    <row r="75">
      <c r="A75" s="1" t="s">
        <v>96</v>
      </c>
      <c r="B75" s="1">
        <v>1.0</v>
      </c>
      <c r="C75" s="1">
        <v>326.0</v>
      </c>
      <c r="D75" s="1">
        <v>1.0</v>
      </c>
      <c r="E75" s="1">
        <v>5.9</v>
      </c>
      <c r="F75" s="1" t="s">
        <v>23</v>
      </c>
    </row>
    <row r="76">
      <c r="A76" s="1" t="s">
        <v>97</v>
      </c>
      <c r="B76" s="1">
        <v>69.0</v>
      </c>
      <c r="C76" s="1">
        <v>98.0</v>
      </c>
      <c r="D76" s="1">
        <v>2.0</v>
      </c>
      <c r="E76" s="1">
        <v>3.0</v>
      </c>
      <c r="F76" s="1" t="s">
        <v>23</v>
      </c>
    </row>
    <row r="77">
      <c r="A77" s="1" t="s">
        <v>98</v>
      </c>
      <c r="B77" s="1">
        <v>234.0</v>
      </c>
      <c r="C77" s="1">
        <v>215.0</v>
      </c>
      <c r="D77" s="1">
        <v>185.0</v>
      </c>
      <c r="E77" s="1">
        <v>11.3</v>
      </c>
      <c r="F77" s="1" t="s">
        <v>16</v>
      </c>
    </row>
    <row r="78">
      <c r="A78" s="1" t="s">
        <v>99</v>
      </c>
      <c r="B78" s="1">
        <v>233.0</v>
      </c>
      <c r="C78" s="1">
        <v>61.0</v>
      </c>
      <c r="D78" s="1">
        <v>78.0</v>
      </c>
      <c r="E78" s="1">
        <v>6.6</v>
      </c>
      <c r="F78" s="1" t="s">
        <v>16</v>
      </c>
    </row>
    <row r="79">
      <c r="A79" s="1" t="s">
        <v>100</v>
      </c>
      <c r="B79" s="1">
        <v>9.0</v>
      </c>
      <c r="C79" s="1">
        <v>114.0</v>
      </c>
      <c r="D79" s="1">
        <v>0.0</v>
      </c>
      <c r="E79" s="1">
        <v>2.2</v>
      </c>
      <c r="F79" s="1" t="s">
        <v>14</v>
      </c>
    </row>
    <row r="80">
      <c r="A80" s="1" t="s">
        <v>101</v>
      </c>
      <c r="B80" s="1">
        <v>5.0</v>
      </c>
      <c r="C80" s="1">
        <v>1.0</v>
      </c>
      <c r="D80" s="1">
        <v>0.0</v>
      </c>
      <c r="E80" s="1">
        <v>0.1</v>
      </c>
      <c r="F80" s="1" t="s">
        <v>14</v>
      </c>
    </row>
    <row r="81">
      <c r="A81" s="1" t="s">
        <v>102</v>
      </c>
      <c r="B81" s="1">
        <v>0.0</v>
      </c>
      <c r="C81" s="1">
        <v>0.0</v>
      </c>
      <c r="D81" s="1">
        <v>0.0</v>
      </c>
      <c r="E81" s="1">
        <v>0.0</v>
      </c>
      <c r="F81" s="1" t="s">
        <v>14</v>
      </c>
    </row>
    <row r="82">
      <c r="A82" s="1" t="s">
        <v>103</v>
      </c>
      <c r="B82" s="1">
        <v>9.0</v>
      </c>
      <c r="C82" s="1">
        <v>3.0</v>
      </c>
      <c r="D82" s="1">
        <v>0.0</v>
      </c>
      <c r="E82" s="1">
        <v>0.2</v>
      </c>
      <c r="F82" s="1" t="s">
        <v>14</v>
      </c>
    </row>
    <row r="83">
      <c r="A83" s="1" t="s">
        <v>104</v>
      </c>
      <c r="B83" s="1">
        <v>313.0</v>
      </c>
      <c r="C83" s="1">
        <v>118.0</v>
      </c>
      <c r="D83" s="1">
        <v>165.0</v>
      </c>
      <c r="E83" s="1">
        <v>11.4</v>
      </c>
      <c r="F83" s="1" t="s">
        <v>16</v>
      </c>
    </row>
    <row r="84">
      <c r="A84" s="1" t="s">
        <v>105</v>
      </c>
      <c r="B84" s="1">
        <v>63.0</v>
      </c>
      <c r="C84" s="1">
        <v>69.0</v>
      </c>
      <c r="D84" s="1">
        <v>9.0</v>
      </c>
      <c r="E84" s="1">
        <v>2.5</v>
      </c>
      <c r="F84" s="1" t="s">
        <v>14</v>
      </c>
    </row>
    <row r="85">
      <c r="A85" s="1" t="s">
        <v>106</v>
      </c>
      <c r="B85" s="1">
        <v>85.0</v>
      </c>
      <c r="C85" s="1">
        <v>42.0</v>
      </c>
      <c r="D85" s="1">
        <v>237.0</v>
      </c>
      <c r="E85" s="1">
        <v>6.5</v>
      </c>
      <c r="F85" s="1" t="s">
        <v>16</v>
      </c>
    </row>
    <row r="86">
      <c r="A86" s="1" t="s">
        <v>107</v>
      </c>
      <c r="B86" s="1">
        <v>82.0</v>
      </c>
      <c r="C86" s="1">
        <v>97.0</v>
      </c>
      <c r="D86" s="1">
        <v>9.0</v>
      </c>
      <c r="E86" s="1">
        <v>3.4</v>
      </c>
      <c r="F86" s="1" t="s">
        <v>23</v>
      </c>
    </row>
    <row r="87">
      <c r="A87" s="1" t="s">
        <v>108</v>
      </c>
      <c r="B87" s="1">
        <v>77.0</v>
      </c>
      <c r="C87" s="1">
        <v>202.0</v>
      </c>
      <c r="D87" s="1">
        <v>16.0</v>
      </c>
      <c r="E87" s="1">
        <v>7.0</v>
      </c>
      <c r="F87" s="1" t="s">
        <v>14</v>
      </c>
    </row>
    <row r="88">
      <c r="A88" s="1" t="s">
        <v>109</v>
      </c>
      <c r="B88" s="1">
        <v>6.0</v>
      </c>
      <c r="C88" s="1">
        <v>21.0</v>
      </c>
      <c r="D88" s="1">
        <v>1.0</v>
      </c>
      <c r="E88" s="1">
        <v>0.5</v>
      </c>
      <c r="F88" s="1" t="s">
        <v>14</v>
      </c>
    </row>
    <row r="89">
      <c r="A89" s="1" t="s">
        <v>110</v>
      </c>
      <c r="B89" s="1">
        <v>124.0</v>
      </c>
      <c r="C89" s="1">
        <v>246.0</v>
      </c>
      <c r="D89" s="1">
        <v>12.0</v>
      </c>
      <c r="E89" s="1">
        <v>6.8</v>
      </c>
      <c r="F89" s="1" t="s">
        <v>14</v>
      </c>
    </row>
    <row r="90">
      <c r="A90" s="1" t="s">
        <v>111</v>
      </c>
      <c r="B90" s="1">
        <v>58.0</v>
      </c>
      <c r="C90" s="1">
        <v>22.0</v>
      </c>
      <c r="D90" s="1">
        <v>2.0</v>
      </c>
      <c r="E90" s="1">
        <v>1.8</v>
      </c>
      <c r="F90" s="1" t="s">
        <v>18</v>
      </c>
    </row>
    <row r="91">
      <c r="A91" s="1" t="s">
        <v>112</v>
      </c>
      <c r="B91" s="1">
        <v>21.0</v>
      </c>
      <c r="C91" s="1">
        <v>34.0</v>
      </c>
      <c r="D91" s="1">
        <v>1.0</v>
      </c>
      <c r="E91" s="1">
        <v>1.0</v>
      </c>
      <c r="F91" s="1" t="s">
        <v>28</v>
      </c>
    </row>
    <row r="92">
      <c r="A92" s="1" t="s">
        <v>113</v>
      </c>
      <c r="B92" s="1">
        <v>0.0</v>
      </c>
      <c r="C92" s="1">
        <v>0.0</v>
      </c>
      <c r="D92" s="1">
        <v>0.0</v>
      </c>
      <c r="E92" s="1">
        <v>0.0</v>
      </c>
      <c r="F92" s="1" t="s">
        <v>14</v>
      </c>
    </row>
    <row r="93">
      <c r="A93" s="1" t="s">
        <v>114</v>
      </c>
      <c r="B93" s="1">
        <v>31.0</v>
      </c>
      <c r="C93" s="1">
        <v>97.0</v>
      </c>
      <c r="D93" s="1">
        <v>6.0</v>
      </c>
      <c r="E93" s="1">
        <v>2.4</v>
      </c>
      <c r="F93" s="1" t="s">
        <v>14</v>
      </c>
    </row>
    <row r="94">
      <c r="A94" s="1" t="s">
        <v>115</v>
      </c>
      <c r="B94" s="1">
        <v>62.0</v>
      </c>
      <c r="C94" s="1">
        <v>0.0</v>
      </c>
      <c r="D94" s="1">
        <v>123.0</v>
      </c>
      <c r="E94" s="1">
        <v>6.2</v>
      </c>
      <c r="F94" s="1" t="s">
        <v>14</v>
      </c>
    </row>
    <row r="95">
      <c r="A95" s="1" t="s">
        <v>116</v>
      </c>
      <c r="B95" s="1">
        <v>281.0</v>
      </c>
      <c r="C95" s="1">
        <v>216.0</v>
      </c>
      <c r="D95" s="1">
        <v>62.0</v>
      </c>
      <c r="E95" s="1">
        <v>10.5</v>
      </c>
      <c r="F95" s="1" t="s">
        <v>16</v>
      </c>
    </row>
    <row r="96">
      <c r="A96" s="1" t="s">
        <v>117</v>
      </c>
      <c r="B96" s="1">
        <v>20.0</v>
      </c>
      <c r="C96" s="1">
        <v>55.0</v>
      </c>
      <c r="D96" s="1">
        <v>31.0</v>
      </c>
      <c r="E96" s="1">
        <v>1.9</v>
      </c>
      <c r="F96" s="1" t="s">
        <v>14</v>
      </c>
    </row>
    <row r="97">
      <c r="A97" s="1" t="s">
        <v>118</v>
      </c>
      <c r="B97" s="1">
        <v>82.0</v>
      </c>
      <c r="C97" s="1">
        <v>29.0</v>
      </c>
      <c r="D97" s="1">
        <v>0.0</v>
      </c>
      <c r="E97" s="1">
        <v>2.8</v>
      </c>
      <c r="F97" s="1" t="s">
        <v>18</v>
      </c>
    </row>
    <row r="98">
      <c r="A98" s="1" t="s">
        <v>119</v>
      </c>
      <c r="B98" s="1">
        <v>19.0</v>
      </c>
      <c r="C98" s="1">
        <v>152.0</v>
      </c>
      <c r="D98" s="1">
        <v>2.0</v>
      </c>
      <c r="E98" s="1">
        <v>3.1</v>
      </c>
      <c r="F98" s="1" t="s">
        <v>18</v>
      </c>
    </row>
    <row r="99">
      <c r="A99" s="1" t="s">
        <v>120</v>
      </c>
      <c r="B99" s="1">
        <v>0.0</v>
      </c>
      <c r="C99" s="1">
        <v>0.0</v>
      </c>
      <c r="D99" s="1">
        <v>0.0</v>
      </c>
      <c r="E99" s="1">
        <v>0.0</v>
      </c>
      <c r="F99" s="1" t="s">
        <v>18</v>
      </c>
    </row>
    <row r="100">
      <c r="A100" s="1" t="s">
        <v>121</v>
      </c>
      <c r="B100" s="1">
        <v>343.0</v>
      </c>
      <c r="C100" s="1">
        <v>244.0</v>
      </c>
      <c r="D100" s="1">
        <v>56.0</v>
      </c>
      <c r="E100" s="1">
        <v>12.9</v>
      </c>
      <c r="F100" s="1" t="s">
        <v>16</v>
      </c>
    </row>
    <row r="101">
      <c r="A101" s="1" t="s">
        <v>122</v>
      </c>
      <c r="B101" s="1">
        <v>236.0</v>
      </c>
      <c r="C101" s="1">
        <v>133.0</v>
      </c>
      <c r="D101" s="1">
        <v>271.0</v>
      </c>
      <c r="E101" s="1">
        <v>11.4</v>
      </c>
      <c r="F101" s="1" t="s">
        <v>16</v>
      </c>
    </row>
    <row r="102">
      <c r="A102" s="1" t="s">
        <v>123</v>
      </c>
      <c r="B102" s="1">
        <v>26.0</v>
      </c>
      <c r="C102" s="1">
        <v>15.0</v>
      </c>
      <c r="D102" s="1">
        <v>4.0</v>
      </c>
      <c r="E102" s="1">
        <v>0.8</v>
      </c>
      <c r="F102" s="1" t="s">
        <v>18</v>
      </c>
    </row>
    <row r="103">
      <c r="A103" s="1" t="s">
        <v>124</v>
      </c>
      <c r="B103" s="1">
        <v>8.0</v>
      </c>
      <c r="C103" s="1">
        <v>11.0</v>
      </c>
      <c r="D103" s="1">
        <v>1.0</v>
      </c>
      <c r="E103" s="1">
        <v>1.5</v>
      </c>
      <c r="F103" s="1" t="s">
        <v>18</v>
      </c>
    </row>
    <row r="104">
      <c r="A104" s="1" t="s">
        <v>125</v>
      </c>
      <c r="B104" s="1">
        <v>13.0</v>
      </c>
      <c r="C104" s="1">
        <v>4.0</v>
      </c>
      <c r="D104" s="1">
        <v>0.0</v>
      </c>
      <c r="E104" s="1">
        <v>0.3</v>
      </c>
      <c r="F104" s="1" t="s">
        <v>14</v>
      </c>
    </row>
    <row r="105">
      <c r="A105" s="1" t="s">
        <v>127</v>
      </c>
      <c r="B105" s="1">
        <v>0.0</v>
      </c>
      <c r="C105" s="1">
        <v>0.0</v>
      </c>
      <c r="D105" s="1">
        <v>0.0</v>
      </c>
      <c r="E105" s="1">
        <v>0.0</v>
      </c>
      <c r="F105" s="1" t="s">
        <v>14</v>
      </c>
    </row>
    <row r="106">
      <c r="A106" s="1" t="s">
        <v>128</v>
      </c>
      <c r="B106" s="1">
        <v>5.0</v>
      </c>
      <c r="C106" s="1">
        <v>1.0</v>
      </c>
      <c r="D106" s="1">
        <v>1.0</v>
      </c>
      <c r="E106" s="1">
        <v>0.6</v>
      </c>
      <c r="F106" s="1" t="s">
        <v>18</v>
      </c>
    </row>
    <row r="107">
      <c r="A107" s="1" t="s">
        <v>129</v>
      </c>
      <c r="B107" s="1">
        <v>149.0</v>
      </c>
      <c r="C107" s="1">
        <v>100.0</v>
      </c>
      <c r="D107" s="1">
        <v>120.0</v>
      </c>
      <c r="E107" s="1">
        <v>6.6</v>
      </c>
      <c r="F107" s="1" t="s">
        <v>16</v>
      </c>
    </row>
    <row r="108">
      <c r="A108" s="1" t="s">
        <v>130</v>
      </c>
      <c r="B108" s="1">
        <v>0.0</v>
      </c>
      <c r="C108" s="1">
        <v>0.0</v>
      </c>
      <c r="D108" s="1">
        <v>0.0</v>
      </c>
      <c r="E108" s="1">
        <v>0.0</v>
      </c>
      <c r="F108" s="1" t="s">
        <v>28</v>
      </c>
    </row>
    <row r="109">
      <c r="A109" s="1" t="s">
        <v>131</v>
      </c>
      <c r="B109" s="1">
        <v>0.0</v>
      </c>
      <c r="C109" s="1">
        <v>0.0</v>
      </c>
      <c r="D109" s="1">
        <v>0.0</v>
      </c>
      <c r="E109" s="1">
        <v>0.0</v>
      </c>
      <c r="F109" s="1" t="s">
        <v>18</v>
      </c>
    </row>
    <row r="110">
      <c r="A110" s="1" t="s">
        <v>132</v>
      </c>
      <c r="B110" s="1">
        <v>98.0</v>
      </c>
      <c r="C110" s="1">
        <v>31.0</v>
      </c>
      <c r="D110" s="1">
        <v>18.0</v>
      </c>
      <c r="E110" s="1">
        <v>2.6</v>
      </c>
      <c r="F110" s="1" t="s">
        <v>18</v>
      </c>
    </row>
    <row r="111">
      <c r="A111" s="1" t="s">
        <v>133</v>
      </c>
      <c r="B111" s="1">
        <v>238.0</v>
      </c>
      <c r="C111" s="1">
        <v>68.0</v>
      </c>
      <c r="D111" s="1">
        <v>5.0</v>
      </c>
      <c r="E111" s="1">
        <v>5.5</v>
      </c>
      <c r="F111" s="1" t="s">
        <v>23</v>
      </c>
    </row>
    <row r="112">
      <c r="A112" s="1" t="s">
        <v>134</v>
      </c>
      <c r="B112" s="1">
        <v>62.0</v>
      </c>
      <c r="C112" s="1">
        <v>50.0</v>
      </c>
      <c r="D112" s="1">
        <v>18.0</v>
      </c>
      <c r="E112" s="1">
        <v>2.3</v>
      </c>
      <c r="F112" s="1" t="s">
        <v>28</v>
      </c>
    </row>
    <row r="113">
      <c r="A113" s="1" t="s">
        <v>136</v>
      </c>
      <c r="B113" s="1">
        <v>0.0</v>
      </c>
      <c r="C113" s="1">
        <v>0.0</v>
      </c>
      <c r="D113" s="1">
        <v>0.0</v>
      </c>
      <c r="E113" s="1">
        <v>0.0</v>
      </c>
      <c r="F113" s="1" t="s">
        <v>16</v>
      </c>
    </row>
    <row r="114">
      <c r="A114" s="1" t="s">
        <v>137</v>
      </c>
      <c r="B114" s="1">
        <v>77.0</v>
      </c>
      <c r="C114" s="1">
        <v>189.0</v>
      </c>
      <c r="D114" s="1">
        <v>8.0</v>
      </c>
      <c r="E114" s="1">
        <v>4.9</v>
      </c>
      <c r="F114" s="1" t="s">
        <v>14</v>
      </c>
    </row>
    <row r="115">
      <c r="A115" s="1" t="s">
        <v>138</v>
      </c>
      <c r="B115" s="1">
        <v>31.0</v>
      </c>
      <c r="C115" s="1">
        <v>114.0</v>
      </c>
      <c r="D115" s="1">
        <v>128.0</v>
      </c>
      <c r="E115" s="1">
        <v>4.9</v>
      </c>
      <c r="F115" s="1" t="s">
        <v>16</v>
      </c>
    </row>
    <row r="116">
      <c r="A116" s="1" t="s">
        <v>139</v>
      </c>
      <c r="B116" s="1">
        <v>12.0</v>
      </c>
      <c r="C116" s="1">
        <v>6.0</v>
      </c>
      <c r="D116" s="1">
        <v>10.0</v>
      </c>
      <c r="E116" s="1">
        <v>0.5</v>
      </c>
      <c r="F116" s="1" t="s">
        <v>18</v>
      </c>
    </row>
    <row r="117">
      <c r="A117" s="1" t="s">
        <v>140</v>
      </c>
      <c r="B117" s="1">
        <v>47.0</v>
      </c>
      <c r="C117" s="1">
        <v>18.0</v>
      </c>
      <c r="D117" s="1">
        <v>5.0</v>
      </c>
      <c r="E117" s="1">
        <v>1.3</v>
      </c>
      <c r="F117" s="1" t="s">
        <v>18</v>
      </c>
    </row>
    <row r="118">
      <c r="A118" s="1" t="s">
        <v>141</v>
      </c>
      <c r="B118" s="1">
        <v>5.0</v>
      </c>
      <c r="C118" s="1">
        <v>1.0</v>
      </c>
      <c r="D118" s="1">
        <v>0.0</v>
      </c>
      <c r="E118" s="1">
        <v>0.1</v>
      </c>
      <c r="F118" s="1" t="s">
        <v>14</v>
      </c>
    </row>
    <row r="119">
      <c r="A119" s="1" t="s">
        <v>142</v>
      </c>
      <c r="B119" s="1">
        <v>376.0</v>
      </c>
      <c r="C119" s="1">
        <v>3.0</v>
      </c>
      <c r="D119" s="1">
        <v>1.0</v>
      </c>
      <c r="E119" s="1">
        <v>6.8</v>
      </c>
      <c r="F119" s="1" t="s">
        <v>18</v>
      </c>
    </row>
    <row r="120">
      <c r="A120" s="1" t="s">
        <v>143</v>
      </c>
      <c r="B120" s="1">
        <v>49.0</v>
      </c>
      <c r="C120" s="1">
        <v>0.0</v>
      </c>
      <c r="D120" s="1">
        <v>8.0</v>
      </c>
      <c r="E120" s="1">
        <v>1.0</v>
      </c>
      <c r="F120" s="1" t="s">
        <v>28</v>
      </c>
    </row>
    <row r="121">
      <c r="A121" s="1" t="s">
        <v>144</v>
      </c>
      <c r="B121" s="1">
        <v>5.0</v>
      </c>
      <c r="C121" s="1">
        <v>6.0</v>
      </c>
      <c r="D121" s="1">
        <v>0.0</v>
      </c>
      <c r="E121" s="1">
        <v>0.2</v>
      </c>
      <c r="F121" s="1" t="s">
        <v>14</v>
      </c>
    </row>
    <row r="122">
      <c r="A122" s="1" t="s">
        <v>145</v>
      </c>
      <c r="B122" s="1">
        <v>251.0</v>
      </c>
      <c r="C122" s="1">
        <v>88.0</v>
      </c>
      <c r="D122" s="1">
        <v>190.0</v>
      </c>
      <c r="E122" s="1">
        <v>9.4</v>
      </c>
      <c r="F122" s="1" t="s">
        <v>16</v>
      </c>
    </row>
    <row r="123">
      <c r="A123" s="1" t="s">
        <v>146</v>
      </c>
      <c r="B123" s="1">
        <v>203.0</v>
      </c>
      <c r="C123" s="1">
        <v>79.0</v>
      </c>
      <c r="D123" s="1">
        <v>175.0</v>
      </c>
      <c r="E123" s="1">
        <v>9.3</v>
      </c>
      <c r="F123" s="1" t="s">
        <v>28</v>
      </c>
    </row>
    <row r="124">
      <c r="A124" s="1" t="s">
        <v>147</v>
      </c>
      <c r="B124" s="1">
        <v>78.0</v>
      </c>
      <c r="C124" s="1">
        <v>118.0</v>
      </c>
      <c r="D124" s="1">
        <v>1.0</v>
      </c>
      <c r="E124" s="1">
        <v>3.5</v>
      </c>
      <c r="F124" s="1" t="s">
        <v>23</v>
      </c>
    </row>
    <row r="125">
      <c r="A125" s="1" t="s">
        <v>148</v>
      </c>
      <c r="B125" s="1">
        <v>3.0</v>
      </c>
      <c r="C125" s="1">
        <v>2.0</v>
      </c>
      <c r="D125" s="1">
        <v>1.0</v>
      </c>
      <c r="E125" s="1">
        <v>0.1</v>
      </c>
      <c r="F125" s="1" t="s">
        <v>18</v>
      </c>
    </row>
    <row r="126">
      <c r="A126" s="1" t="s">
        <v>149</v>
      </c>
      <c r="B126" s="1">
        <v>42.0</v>
      </c>
      <c r="C126" s="1">
        <v>5.0</v>
      </c>
      <c r="D126" s="1">
        <v>2.0</v>
      </c>
      <c r="E126" s="1">
        <v>9.1</v>
      </c>
      <c r="F126" s="1" t="s">
        <v>18</v>
      </c>
    </row>
    <row r="127">
      <c r="A127" s="1" t="s">
        <v>150</v>
      </c>
      <c r="B127" s="1">
        <v>188.0</v>
      </c>
      <c r="C127" s="1">
        <v>200.0</v>
      </c>
      <c r="D127" s="1">
        <v>7.0</v>
      </c>
      <c r="E127" s="1">
        <v>7.0</v>
      </c>
      <c r="F127" s="1" t="s">
        <v>28</v>
      </c>
    </row>
    <row r="128">
      <c r="A128" s="1" t="s">
        <v>151</v>
      </c>
      <c r="B128" s="1">
        <v>169.0</v>
      </c>
      <c r="C128" s="1">
        <v>71.0</v>
      </c>
      <c r="D128" s="1">
        <v>129.0</v>
      </c>
      <c r="E128" s="1">
        <v>6.7</v>
      </c>
      <c r="F128" s="1" t="s">
        <v>16</v>
      </c>
    </row>
    <row r="129">
      <c r="A129" s="1" t="s">
        <v>152</v>
      </c>
      <c r="B129" s="1">
        <v>22.0</v>
      </c>
      <c r="C129" s="1">
        <v>16.0</v>
      </c>
      <c r="D129" s="1">
        <v>1.0</v>
      </c>
      <c r="E129" s="1">
        <v>0.7</v>
      </c>
      <c r="F129" s="1" t="s">
        <v>14</v>
      </c>
    </row>
    <row r="130">
      <c r="A130" s="1" t="s">
        <v>153</v>
      </c>
      <c r="B130" s="1">
        <v>0.0</v>
      </c>
      <c r="C130" s="1">
        <v>0.0</v>
      </c>
      <c r="D130" s="1">
        <v>0.0</v>
      </c>
      <c r="E130" s="1">
        <v>0.0</v>
      </c>
      <c r="F130" s="1" t="s">
        <v>14</v>
      </c>
    </row>
    <row r="131">
      <c r="A131" s="1" t="s">
        <v>154</v>
      </c>
      <c r="B131" s="1">
        <v>306.0</v>
      </c>
      <c r="C131" s="1">
        <v>63.0</v>
      </c>
      <c r="D131" s="1">
        <v>23.0</v>
      </c>
      <c r="E131" s="1">
        <v>6.9</v>
      </c>
      <c r="F131" s="1" t="s">
        <v>28</v>
      </c>
    </row>
    <row r="132">
      <c r="A132" s="1" t="s">
        <v>155</v>
      </c>
      <c r="B132" s="1">
        <v>285.0</v>
      </c>
      <c r="C132" s="1">
        <v>104.0</v>
      </c>
      <c r="D132" s="1">
        <v>18.0</v>
      </c>
      <c r="E132" s="1">
        <v>7.2</v>
      </c>
      <c r="F132" s="1" t="s">
        <v>23</v>
      </c>
    </row>
    <row r="133">
      <c r="A133" s="1" t="s">
        <v>156</v>
      </c>
      <c r="B133" s="1">
        <v>44.0</v>
      </c>
      <c r="C133" s="1">
        <v>39.0</v>
      </c>
      <c r="D133" s="1">
        <v>1.0</v>
      </c>
      <c r="E133" s="1">
        <v>1.5</v>
      </c>
      <c r="F133" s="1" t="s">
        <v>28</v>
      </c>
    </row>
    <row r="134">
      <c r="A134" s="1" t="s">
        <v>157</v>
      </c>
      <c r="B134" s="1">
        <v>213.0</v>
      </c>
      <c r="C134" s="1">
        <v>117.0</v>
      </c>
      <c r="D134" s="1">
        <v>74.0</v>
      </c>
      <c r="E134" s="1">
        <v>7.3</v>
      </c>
      <c r="F134" s="1" t="s">
        <v>25</v>
      </c>
    </row>
    <row r="135">
      <c r="A135" s="1" t="s">
        <v>158</v>
      </c>
      <c r="B135" s="1">
        <v>163.0</v>
      </c>
      <c r="C135" s="1">
        <v>160.0</v>
      </c>
      <c r="D135" s="1">
        <v>21.0</v>
      </c>
      <c r="E135" s="1">
        <v>6.1</v>
      </c>
      <c r="F135" s="1" t="s">
        <v>25</v>
      </c>
    </row>
    <row r="136">
      <c r="A136" s="1" t="s">
        <v>159</v>
      </c>
      <c r="B136" s="1">
        <v>71.0</v>
      </c>
      <c r="C136" s="1">
        <v>186.0</v>
      </c>
      <c r="D136" s="1">
        <v>1.0</v>
      </c>
      <c r="E136" s="1">
        <v>4.6</v>
      </c>
      <c r="F136" s="1" t="s">
        <v>14</v>
      </c>
    </row>
    <row r="137">
      <c r="A137" s="1" t="s">
        <v>160</v>
      </c>
      <c r="B137" s="1">
        <v>343.0</v>
      </c>
      <c r="C137" s="1">
        <v>215.0</v>
      </c>
      <c r="D137" s="1">
        <v>56.0</v>
      </c>
      <c r="E137" s="1">
        <v>10.9</v>
      </c>
      <c r="F137" s="1" t="s">
        <v>16</v>
      </c>
    </row>
    <row r="138">
      <c r="A138" s="1" t="s">
        <v>161</v>
      </c>
      <c r="B138" s="1">
        <v>194.0</v>
      </c>
      <c r="C138" s="1">
        <v>67.0</v>
      </c>
      <c r="D138" s="1">
        <v>339.0</v>
      </c>
      <c r="E138" s="1">
        <v>11.0</v>
      </c>
      <c r="F138" s="1" t="s">
        <v>16</v>
      </c>
    </row>
    <row r="139">
      <c r="A139" s="1" t="s">
        <v>162</v>
      </c>
      <c r="B139" s="1">
        <v>1.0</v>
      </c>
      <c r="C139" s="1">
        <v>42.0</v>
      </c>
      <c r="D139" s="1">
        <v>7.0</v>
      </c>
      <c r="E139" s="1">
        <v>0.9</v>
      </c>
      <c r="F139" s="1" t="s">
        <v>14</v>
      </c>
    </row>
    <row r="140">
      <c r="A140" s="1" t="s">
        <v>180</v>
      </c>
      <c r="B140" s="1">
        <v>140.0</v>
      </c>
      <c r="C140" s="1">
        <v>16.0</v>
      </c>
      <c r="D140" s="1">
        <v>9.0</v>
      </c>
      <c r="E140" s="1">
        <v>9.8</v>
      </c>
      <c r="F140" s="1" t="s">
        <v>14</v>
      </c>
    </row>
    <row r="141">
      <c r="A141" s="1" t="s">
        <v>135</v>
      </c>
      <c r="B141" s="1">
        <v>109.0</v>
      </c>
      <c r="C141" s="1">
        <v>226.0</v>
      </c>
      <c r="D141" s="1">
        <v>18.0</v>
      </c>
      <c r="E141" s="1">
        <v>6.3</v>
      </c>
      <c r="F141" s="1" t="s">
        <v>16</v>
      </c>
    </row>
    <row r="142">
      <c r="A142" s="1" t="s">
        <v>163</v>
      </c>
      <c r="B142" s="1">
        <v>297.0</v>
      </c>
      <c r="C142" s="1">
        <v>122.0</v>
      </c>
      <c r="D142" s="1">
        <v>167.0</v>
      </c>
      <c r="E142" s="1">
        <v>10.4</v>
      </c>
      <c r="F142" s="1" t="s">
        <v>16</v>
      </c>
    </row>
    <row r="143">
      <c r="A143" s="1" t="s">
        <v>164</v>
      </c>
      <c r="B143" s="1">
        <v>247.0</v>
      </c>
      <c r="C143" s="1">
        <v>326.0</v>
      </c>
      <c r="D143" s="1">
        <v>73.0</v>
      </c>
      <c r="E143" s="1">
        <v>11.5</v>
      </c>
      <c r="F143" s="1" t="s">
        <v>14</v>
      </c>
    </row>
    <row r="144">
      <c r="A144" s="1" t="s">
        <v>165</v>
      </c>
      <c r="B144" s="1">
        <v>43.0</v>
      </c>
      <c r="C144" s="1">
        <v>2.0</v>
      </c>
      <c r="D144" s="1">
        <v>0.0</v>
      </c>
      <c r="E144" s="1">
        <v>6.8</v>
      </c>
      <c r="F144" s="1" t="s">
        <v>18</v>
      </c>
    </row>
    <row r="145">
      <c r="A145" s="1" t="s">
        <v>183</v>
      </c>
      <c r="B145" s="1">
        <v>194.0</v>
      </c>
      <c r="C145" s="1">
        <v>205.0</v>
      </c>
      <c r="D145" s="1">
        <v>32.0</v>
      </c>
      <c r="E145" s="1">
        <v>7.7</v>
      </c>
      <c r="F145" s="1" t="s">
        <v>23</v>
      </c>
    </row>
    <row r="146">
      <c r="A146" s="1" t="s">
        <v>184</v>
      </c>
      <c r="B146" s="1">
        <v>171.0</v>
      </c>
      <c r="C146" s="1">
        <v>315.0</v>
      </c>
      <c r="D146" s="1">
        <v>71.0</v>
      </c>
      <c r="E146" s="1">
        <v>10.1</v>
      </c>
      <c r="F146" s="1" t="s">
        <v>23</v>
      </c>
    </row>
    <row r="147">
      <c r="A147" s="1" t="s">
        <v>185</v>
      </c>
      <c r="B147" s="1">
        <v>120.0</v>
      </c>
      <c r="C147" s="1">
        <v>221.0</v>
      </c>
      <c r="D147" s="1">
        <v>11.0</v>
      </c>
      <c r="E147" s="1">
        <v>6.3</v>
      </c>
      <c r="F147" s="1" t="s">
        <v>23</v>
      </c>
    </row>
    <row r="148">
      <c r="A148" s="1" t="s">
        <v>166</v>
      </c>
      <c r="B148" s="1">
        <v>105.0</v>
      </c>
      <c r="C148" s="1">
        <v>18.0</v>
      </c>
      <c r="D148" s="1">
        <v>24.0</v>
      </c>
      <c r="E148" s="1">
        <v>2.6</v>
      </c>
      <c r="F148" s="1" t="s">
        <v>28</v>
      </c>
    </row>
    <row r="149">
      <c r="A149" s="1" t="s">
        <v>167</v>
      </c>
      <c r="B149" s="1">
        <v>0.0</v>
      </c>
      <c r="C149" s="1">
        <v>0.0</v>
      </c>
      <c r="D149" s="1">
        <v>0.0</v>
      </c>
      <c r="E149" s="1">
        <v>0.0</v>
      </c>
      <c r="F149" s="1" t="s">
        <v>16</v>
      </c>
    </row>
    <row r="150">
      <c r="A150" s="1" t="s">
        <v>168</v>
      </c>
      <c r="B150" s="1">
        <v>56.0</v>
      </c>
      <c r="C150" s="1">
        <v>38.0</v>
      </c>
      <c r="D150" s="1">
        <v>140.0</v>
      </c>
      <c r="E150" s="1">
        <v>4.2</v>
      </c>
      <c r="F150" s="1" t="s">
        <v>18</v>
      </c>
    </row>
    <row r="151">
      <c r="A151" s="1" t="s">
        <v>169</v>
      </c>
      <c r="B151" s="1">
        <v>0.0</v>
      </c>
      <c r="C151" s="1">
        <v>5.0</v>
      </c>
      <c r="D151" s="1">
        <v>0.0</v>
      </c>
      <c r="E151" s="1">
        <v>0.1</v>
      </c>
      <c r="F151" s="1" t="s">
        <v>14</v>
      </c>
    </row>
    <row r="152">
      <c r="A152" s="1" t="s">
        <v>170</v>
      </c>
      <c r="B152" s="1">
        <v>9.0</v>
      </c>
      <c r="C152" s="1">
        <v>1.0</v>
      </c>
      <c r="D152" s="1">
        <v>7.0</v>
      </c>
      <c r="E152" s="1">
        <v>0.3</v>
      </c>
      <c r="F152" s="1" t="s">
        <v>18</v>
      </c>
    </row>
    <row r="153">
      <c r="A153" s="1" t="s">
        <v>171</v>
      </c>
      <c r="B153" s="1">
        <v>283.0</v>
      </c>
      <c r="C153" s="1">
        <v>131.0</v>
      </c>
      <c r="D153" s="1">
        <v>127.0</v>
      </c>
      <c r="E153" s="1">
        <v>9.6</v>
      </c>
      <c r="F153" s="1" t="s">
        <v>16</v>
      </c>
    </row>
    <row r="154">
      <c r="A154" s="1" t="s">
        <v>172</v>
      </c>
      <c r="B154" s="1">
        <v>157.0</v>
      </c>
      <c r="C154" s="1">
        <v>25.0</v>
      </c>
      <c r="D154" s="1">
        <v>51.0</v>
      </c>
      <c r="E154" s="1">
        <v>4.1</v>
      </c>
      <c r="F154" s="1" t="s">
        <v>18</v>
      </c>
    </row>
    <row r="155">
      <c r="A155" s="1" t="s">
        <v>173</v>
      </c>
      <c r="B155" s="1">
        <v>25.0</v>
      </c>
      <c r="C155" s="1">
        <v>3.0</v>
      </c>
      <c r="D155" s="1">
        <v>2.0</v>
      </c>
      <c r="E155" s="1">
        <v>6.7</v>
      </c>
      <c r="F155" s="1" t="s">
        <v>18</v>
      </c>
    </row>
    <row r="156">
      <c r="A156" s="1" t="s">
        <v>174</v>
      </c>
      <c r="B156" s="1">
        <v>60.0</v>
      </c>
      <c r="C156" s="1">
        <v>12.0</v>
      </c>
      <c r="D156" s="1">
        <v>11.0</v>
      </c>
      <c r="E156" s="1">
        <v>1.5</v>
      </c>
      <c r="F156" s="1" t="s">
        <v>14</v>
      </c>
    </row>
    <row r="157">
      <c r="A157" s="1" t="s">
        <v>175</v>
      </c>
      <c r="B157" s="1">
        <v>196.0</v>
      </c>
      <c r="C157" s="1">
        <v>293.0</v>
      </c>
      <c r="D157" s="1">
        <v>116.0</v>
      </c>
      <c r="E157" s="1">
        <v>11.4</v>
      </c>
      <c r="F157" s="1" t="s">
        <v>16</v>
      </c>
    </row>
    <row r="158">
      <c r="A158" s="1" t="s">
        <v>176</v>
      </c>
      <c r="B158" s="1">
        <v>270.0</v>
      </c>
      <c r="C158" s="1">
        <v>51.0</v>
      </c>
      <c r="D158" s="1">
        <v>276.0</v>
      </c>
      <c r="E158" s="1">
        <v>10.6</v>
      </c>
      <c r="F158" s="1" t="s">
        <v>16</v>
      </c>
    </row>
    <row r="159">
      <c r="A159" s="1" t="s">
        <v>177</v>
      </c>
      <c r="B159" s="1">
        <v>56.0</v>
      </c>
      <c r="C159" s="1">
        <v>11.0</v>
      </c>
      <c r="D159" s="1">
        <v>1.0</v>
      </c>
      <c r="E159" s="1">
        <v>1.2</v>
      </c>
      <c r="F159" s="1" t="s">
        <v>28</v>
      </c>
    </row>
    <row r="160">
      <c r="A160" s="1" t="s">
        <v>178</v>
      </c>
      <c r="B160" s="1">
        <v>0.0</v>
      </c>
      <c r="C160" s="1">
        <v>0.0</v>
      </c>
      <c r="D160" s="1">
        <v>0.0</v>
      </c>
      <c r="E160" s="1">
        <v>0.0</v>
      </c>
      <c r="F160" s="1" t="s">
        <v>18</v>
      </c>
    </row>
    <row r="161">
      <c r="A161" s="1" t="s">
        <v>179</v>
      </c>
      <c r="B161" s="1">
        <v>225.0</v>
      </c>
      <c r="C161" s="1">
        <v>76.0</v>
      </c>
      <c r="D161" s="1">
        <v>81.0</v>
      </c>
      <c r="E161" s="1">
        <v>8.2</v>
      </c>
      <c r="F161" s="1" t="s">
        <v>18</v>
      </c>
    </row>
    <row r="162">
      <c r="A162" s="1" t="s">
        <v>181</v>
      </c>
      <c r="B162" s="1">
        <v>284.0</v>
      </c>
      <c r="C162" s="1">
        <v>157.0</v>
      </c>
      <c r="D162" s="1">
        <v>112.0</v>
      </c>
      <c r="E162" s="1">
        <v>10.0</v>
      </c>
      <c r="F162" s="1" t="s">
        <v>16</v>
      </c>
    </row>
    <row r="163">
      <c r="A163" s="1" t="s">
        <v>182</v>
      </c>
      <c r="B163" s="1">
        <v>16.0</v>
      </c>
      <c r="C163" s="1">
        <v>104.0</v>
      </c>
      <c r="D163" s="1">
        <v>0.0</v>
      </c>
      <c r="E163" s="1">
        <v>2.2</v>
      </c>
      <c r="F163" s="1" t="s">
        <v>14</v>
      </c>
    </row>
    <row r="164">
      <c r="A164" s="1" t="s">
        <v>186</v>
      </c>
      <c r="B164" s="1">
        <v>8.0</v>
      </c>
      <c r="C164" s="1">
        <v>13.0</v>
      </c>
      <c r="D164" s="1">
        <v>0.0</v>
      </c>
      <c r="E164" s="1">
        <v>1.7</v>
      </c>
      <c r="F164" s="1" t="s">
        <v>18</v>
      </c>
    </row>
    <row r="165">
      <c r="A165" s="1" t="s">
        <v>187</v>
      </c>
      <c r="B165" s="1">
        <v>128.0</v>
      </c>
      <c r="C165" s="1">
        <v>178.0</v>
      </c>
      <c r="D165" s="1">
        <v>7.0</v>
      </c>
      <c r="E165" s="1">
        <v>5.6</v>
      </c>
      <c r="F165" s="1" t="s">
        <v>25</v>
      </c>
    </row>
    <row r="166">
      <c r="A166" s="1" t="s">
        <v>188</v>
      </c>
      <c r="B166" s="1">
        <v>90.0</v>
      </c>
      <c r="C166" s="1">
        <v>2.0</v>
      </c>
      <c r="D166" s="1">
        <v>2.0</v>
      </c>
      <c r="E166" s="1">
        <v>4.7</v>
      </c>
      <c r="F166" s="1" t="s">
        <v>18</v>
      </c>
    </row>
    <row r="167">
      <c r="A167" s="1" t="s">
        <v>189</v>
      </c>
      <c r="B167" s="1">
        <v>152.0</v>
      </c>
      <c r="C167" s="1">
        <v>60.0</v>
      </c>
      <c r="D167" s="1">
        <v>186.0</v>
      </c>
      <c r="E167" s="1">
        <v>7.2</v>
      </c>
      <c r="F167" s="1" t="s">
        <v>16</v>
      </c>
    </row>
    <row r="168">
      <c r="A168" s="1" t="s">
        <v>190</v>
      </c>
      <c r="B168" s="1">
        <v>185.0</v>
      </c>
      <c r="C168" s="1">
        <v>100.0</v>
      </c>
      <c r="D168" s="1">
        <v>280.0</v>
      </c>
      <c r="E168" s="1">
        <v>10.2</v>
      </c>
      <c r="F168" s="1" t="s">
        <v>16</v>
      </c>
    </row>
    <row r="169">
      <c r="A169" s="1" t="s">
        <v>191</v>
      </c>
      <c r="B169" s="1">
        <v>5.0</v>
      </c>
      <c r="C169" s="1">
        <v>35.0</v>
      </c>
      <c r="D169" s="1">
        <v>16.0</v>
      </c>
      <c r="E169" s="1">
        <v>1.0</v>
      </c>
      <c r="F169" s="1" t="s">
        <v>14</v>
      </c>
    </row>
    <row r="170">
      <c r="A170" s="1" t="s">
        <v>192</v>
      </c>
      <c r="B170" s="1">
        <v>2.0</v>
      </c>
      <c r="C170" s="1">
        <v>15.0</v>
      </c>
      <c r="D170" s="1">
        <v>0.0</v>
      </c>
      <c r="E170" s="1">
        <v>0.3</v>
      </c>
      <c r="F170" s="1" t="s">
        <v>14</v>
      </c>
    </row>
    <row r="171">
      <c r="A171" s="1" t="s">
        <v>195</v>
      </c>
      <c r="B171" s="1">
        <v>99.0</v>
      </c>
      <c r="C171" s="1">
        <v>258.0</v>
      </c>
      <c r="D171" s="1">
        <v>1.0</v>
      </c>
      <c r="E171" s="1">
        <v>6.4</v>
      </c>
      <c r="F171" s="1" t="s">
        <v>14</v>
      </c>
    </row>
    <row r="172">
      <c r="A172" s="1" t="s">
        <v>126</v>
      </c>
      <c r="B172" s="1">
        <v>106.0</v>
      </c>
      <c r="C172" s="1">
        <v>27.0</v>
      </c>
      <c r="D172" s="1">
        <v>86.0</v>
      </c>
      <c r="E172" s="1">
        <v>3.9</v>
      </c>
      <c r="F172" s="1" t="s">
        <v>16</v>
      </c>
    </row>
    <row r="173">
      <c r="A173" s="1" t="s">
        <v>196</v>
      </c>
      <c r="B173" s="1">
        <v>1.0</v>
      </c>
      <c r="C173" s="1">
        <v>1.0</v>
      </c>
      <c r="D173" s="1">
        <v>4.0</v>
      </c>
      <c r="E173" s="1">
        <v>0.1</v>
      </c>
      <c r="F173" s="1" t="s">
        <v>14</v>
      </c>
    </row>
    <row r="174">
      <c r="A174" s="1" t="s">
        <v>197</v>
      </c>
      <c r="B174" s="1">
        <v>36.0</v>
      </c>
      <c r="C174" s="1">
        <v>2.0</v>
      </c>
      <c r="D174" s="1">
        <v>19.0</v>
      </c>
      <c r="E174" s="1">
        <v>1.3</v>
      </c>
      <c r="F174" s="1" t="s">
        <v>18</v>
      </c>
    </row>
    <row r="175">
      <c r="A175" s="1" t="s">
        <v>198</v>
      </c>
      <c r="B175" s="1">
        <v>36.0</v>
      </c>
      <c r="C175" s="1">
        <v>21.0</v>
      </c>
      <c r="D175" s="1">
        <v>5.0</v>
      </c>
      <c r="E175" s="1">
        <v>1.1</v>
      </c>
      <c r="F175" s="1" t="s">
        <v>28</v>
      </c>
    </row>
    <row r="176">
      <c r="A176" s="1" t="s">
        <v>199</v>
      </c>
      <c r="B176" s="1">
        <v>197.0</v>
      </c>
      <c r="C176" s="1">
        <v>156.0</v>
      </c>
      <c r="D176" s="1">
        <v>7.0</v>
      </c>
      <c r="E176" s="1">
        <v>6.4</v>
      </c>
      <c r="F176" s="1" t="s">
        <v>23</v>
      </c>
    </row>
    <row r="177">
      <c r="A177" s="1" t="s">
        <v>200</v>
      </c>
      <c r="B177" s="1">
        <v>51.0</v>
      </c>
      <c r="C177" s="1">
        <v>3.0</v>
      </c>
      <c r="D177" s="1">
        <v>20.0</v>
      </c>
      <c r="E177" s="1">
        <v>1.3</v>
      </c>
      <c r="F177" s="1" t="s">
        <v>18</v>
      </c>
    </row>
    <row r="178">
      <c r="A178" s="1" t="s">
        <v>201</v>
      </c>
      <c r="B178" s="1">
        <v>51.0</v>
      </c>
      <c r="C178" s="1">
        <v>22.0</v>
      </c>
      <c r="D178" s="1">
        <v>7.0</v>
      </c>
      <c r="E178" s="1">
        <v>1.4</v>
      </c>
      <c r="F178" s="1" t="s">
        <v>14</v>
      </c>
    </row>
    <row r="179">
      <c r="A179" s="1" t="s">
        <v>202</v>
      </c>
      <c r="B179" s="1">
        <v>19.0</v>
      </c>
      <c r="C179" s="1">
        <v>71.0</v>
      </c>
      <c r="D179" s="1">
        <v>32.0</v>
      </c>
      <c r="E179" s="1">
        <v>2.2</v>
      </c>
      <c r="F179" s="1" t="s">
        <v>14</v>
      </c>
    </row>
    <row r="180">
      <c r="A180" s="1" t="s">
        <v>203</v>
      </c>
      <c r="B180" s="1">
        <v>6.0</v>
      </c>
      <c r="C180" s="1">
        <v>41.0</v>
      </c>
      <c r="D180" s="1">
        <v>9.0</v>
      </c>
      <c r="E180" s="1">
        <v>1.0</v>
      </c>
      <c r="F180" s="1" t="s">
        <v>28</v>
      </c>
    </row>
    <row r="181">
      <c r="A181" s="1" t="s">
        <v>204</v>
      </c>
      <c r="B181" s="1">
        <v>45.0</v>
      </c>
      <c r="C181" s="1">
        <v>9.0</v>
      </c>
      <c r="D181" s="1">
        <v>0.0</v>
      </c>
      <c r="E181" s="1">
        <v>8.3</v>
      </c>
      <c r="F181" s="1" t="s">
        <v>18</v>
      </c>
    </row>
    <row r="182">
      <c r="A182" s="1" t="s">
        <v>205</v>
      </c>
      <c r="B182" s="1">
        <v>206.0</v>
      </c>
      <c r="C182" s="1">
        <v>237.0</v>
      </c>
      <c r="D182" s="1">
        <v>45.0</v>
      </c>
      <c r="E182" s="1">
        <v>8.9</v>
      </c>
      <c r="F182" s="1" t="s">
        <v>16</v>
      </c>
    </row>
    <row r="183">
      <c r="A183" s="1" t="s">
        <v>206</v>
      </c>
      <c r="B183" s="1">
        <v>16.0</v>
      </c>
      <c r="C183" s="1">
        <v>135.0</v>
      </c>
      <c r="D183" s="1">
        <v>5.0</v>
      </c>
      <c r="E183" s="1">
        <v>2.8</v>
      </c>
      <c r="F183" s="1" t="s">
        <v>14</v>
      </c>
    </row>
    <row r="184">
      <c r="A184" s="1" t="s">
        <v>207</v>
      </c>
      <c r="B184" s="1">
        <v>219.0</v>
      </c>
      <c r="C184" s="1">
        <v>126.0</v>
      </c>
      <c r="D184" s="1">
        <v>195.0</v>
      </c>
      <c r="E184" s="1">
        <v>10.4</v>
      </c>
      <c r="F184" s="1" t="s">
        <v>16</v>
      </c>
    </row>
    <row r="185">
      <c r="A185" s="1" t="s">
        <v>194</v>
      </c>
      <c r="B185" s="1">
        <v>36.0</v>
      </c>
      <c r="C185" s="1">
        <v>6.0</v>
      </c>
      <c r="D185" s="1">
        <v>1.0</v>
      </c>
      <c r="E185" s="1">
        <v>5.7</v>
      </c>
      <c r="F185" s="1" t="s">
        <v>18</v>
      </c>
    </row>
    <row r="186">
      <c r="A186" s="1" t="s">
        <v>209</v>
      </c>
      <c r="B186" s="1">
        <v>249.0</v>
      </c>
      <c r="C186" s="1">
        <v>158.0</v>
      </c>
      <c r="D186" s="1">
        <v>84.0</v>
      </c>
      <c r="E186" s="1">
        <v>8.7</v>
      </c>
      <c r="F186" s="1" t="s">
        <v>23</v>
      </c>
    </row>
    <row r="187">
      <c r="A187" s="1" t="s">
        <v>208</v>
      </c>
      <c r="B187" s="1">
        <v>115.0</v>
      </c>
      <c r="C187" s="1">
        <v>35.0</v>
      </c>
      <c r="D187" s="1">
        <v>220.0</v>
      </c>
      <c r="E187" s="1">
        <v>6.6</v>
      </c>
      <c r="F187" s="1" t="s">
        <v>25</v>
      </c>
    </row>
    <row r="188">
      <c r="A188" s="1" t="s">
        <v>210</v>
      </c>
      <c r="B188" s="1">
        <v>25.0</v>
      </c>
      <c r="C188" s="1">
        <v>101.0</v>
      </c>
      <c r="D188" s="1">
        <v>8.0</v>
      </c>
      <c r="E188" s="1">
        <v>2.4</v>
      </c>
      <c r="F188" s="1" t="s">
        <v>14</v>
      </c>
    </row>
    <row r="189">
      <c r="A189" s="1" t="s">
        <v>211</v>
      </c>
      <c r="B189" s="1">
        <v>21.0</v>
      </c>
      <c r="C189" s="1">
        <v>18.0</v>
      </c>
      <c r="D189" s="1">
        <v>11.0</v>
      </c>
      <c r="E189" s="1">
        <v>0.9</v>
      </c>
      <c r="F189" s="1" t="s">
        <v>28</v>
      </c>
    </row>
    <row r="190">
      <c r="A190" s="1" t="s">
        <v>212</v>
      </c>
      <c r="B190" s="1">
        <v>333.0</v>
      </c>
      <c r="C190" s="1">
        <v>100.0</v>
      </c>
      <c r="D190" s="1">
        <v>3.0</v>
      </c>
      <c r="E190" s="1">
        <v>7.7</v>
      </c>
      <c r="F190" s="1" t="s">
        <v>25</v>
      </c>
    </row>
    <row r="191">
      <c r="A191" s="1" t="s">
        <v>213</v>
      </c>
      <c r="B191" s="1">
        <v>111.0</v>
      </c>
      <c r="C191" s="1">
        <v>2.0</v>
      </c>
      <c r="D191" s="1">
        <v>1.0</v>
      </c>
      <c r="E191" s="1">
        <v>2.0</v>
      </c>
      <c r="F191" s="1" t="s">
        <v>14</v>
      </c>
    </row>
    <row r="192">
      <c r="A192" s="1" t="s">
        <v>214</v>
      </c>
      <c r="B192" s="1">
        <v>6.0</v>
      </c>
      <c r="C192" s="1">
        <v>0.0</v>
      </c>
      <c r="D192" s="1">
        <v>0.0</v>
      </c>
      <c r="E192" s="1">
        <v>0.1</v>
      </c>
      <c r="F192" s="1" t="s">
        <v>14</v>
      </c>
    </row>
    <row r="193">
      <c r="A193" s="1" t="s">
        <v>215</v>
      </c>
      <c r="B193" s="1">
        <v>32.0</v>
      </c>
      <c r="C193" s="1">
        <v>19.0</v>
      </c>
      <c r="D193" s="1">
        <v>4.0</v>
      </c>
      <c r="E193" s="1">
        <v>2.5</v>
      </c>
      <c r="F193" s="1" t="s">
        <v>18</v>
      </c>
    </row>
    <row r="194">
      <c r="A194" s="1" t="s">
        <v>216</v>
      </c>
      <c r="B194" s="1">
        <v>64.0</v>
      </c>
      <c r="C194" s="1">
        <v>18.0</v>
      </c>
      <c r="D194" s="1">
        <v>4.0</v>
      </c>
      <c r="E194" s="1">
        <v>4.7</v>
      </c>
      <c r="F194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27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2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63"/>
    <col customWidth="1" min="3" max="3" width="32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218</v>
      </c>
    </row>
    <row r="2">
      <c r="A2" s="5" t="s">
        <v>167</v>
      </c>
      <c r="B2" s="6">
        <v>0.0</v>
      </c>
    </row>
    <row r="3">
      <c r="A3" s="5" t="s">
        <v>136</v>
      </c>
      <c r="B3" s="6">
        <v>0.0</v>
      </c>
    </row>
    <row r="4">
      <c r="A4" s="5" t="s">
        <v>30</v>
      </c>
      <c r="B4" s="6">
        <v>21.0</v>
      </c>
    </row>
    <row r="5">
      <c r="A5" s="5" t="s">
        <v>26</v>
      </c>
      <c r="B5" s="6">
        <v>21.0</v>
      </c>
    </row>
    <row r="6">
      <c r="A6" s="5" t="s">
        <v>138</v>
      </c>
      <c r="B6" s="6">
        <v>31.0</v>
      </c>
    </row>
    <row r="7">
      <c r="A7" s="5" t="s">
        <v>87</v>
      </c>
      <c r="B7" s="6">
        <v>52.0</v>
      </c>
    </row>
    <row r="8">
      <c r="A8" s="5" t="s">
        <v>42</v>
      </c>
      <c r="B8" s="6">
        <v>76.0</v>
      </c>
    </row>
    <row r="9">
      <c r="A9" s="5" t="s">
        <v>106</v>
      </c>
      <c r="B9" s="6">
        <v>85.0</v>
      </c>
    </row>
    <row r="10">
      <c r="A10" s="5" t="s">
        <v>15</v>
      </c>
      <c r="B10" s="6">
        <v>89.0</v>
      </c>
    </row>
    <row r="11">
      <c r="A11" s="5" t="s">
        <v>126</v>
      </c>
      <c r="B11" s="6">
        <v>106.0</v>
      </c>
    </row>
    <row r="12">
      <c r="A12" s="5" t="s">
        <v>135</v>
      </c>
      <c r="B12" s="6">
        <v>109.0</v>
      </c>
    </row>
    <row r="13">
      <c r="A13" s="5" t="s">
        <v>82</v>
      </c>
      <c r="B13" s="6">
        <v>127.0</v>
      </c>
    </row>
    <row r="14">
      <c r="A14" s="5" t="s">
        <v>90</v>
      </c>
      <c r="B14" s="6">
        <v>133.0</v>
      </c>
    </row>
    <row r="15">
      <c r="A15" s="5" t="s">
        <v>36</v>
      </c>
      <c r="B15" s="6">
        <v>142.0</v>
      </c>
    </row>
    <row r="16">
      <c r="A16" s="5" t="s">
        <v>129</v>
      </c>
      <c r="B16" s="6">
        <v>149.0</v>
      </c>
    </row>
    <row r="17">
      <c r="A17" s="5" t="s">
        <v>189</v>
      </c>
      <c r="B17" s="6">
        <v>152.0</v>
      </c>
    </row>
    <row r="18">
      <c r="A18" s="5" t="s">
        <v>151</v>
      </c>
      <c r="B18" s="6">
        <v>169.0</v>
      </c>
    </row>
    <row r="19">
      <c r="A19" s="5" t="s">
        <v>190</v>
      </c>
      <c r="B19" s="6">
        <v>185.0</v>
      </c>
    </row>
    <row r="20">
      <c r="A20" s="5" t="s">
        <v>65</v>
      </c>
      <c r="B20" s="6">
        <v>192.0</v>
      </c>
    </row>
    <row r="21">
      <c r="A21" s="5" t="s">
        <v>161</v>
      </c>
      <c r="B21" s="6">
        <v>194.0</v>
      </c>
    </row>
    <row r="22">
      <c r="A22" s="5" t="s">
        <v>175</v>
      </c>
      <c r="B22" s="6">
        <v>196.0</v>
      </c>
    </row>
    <row r="23">
      <c r="A23" s="5" t="s">
        <v>205</v>
      </c>
      <c r="B23" s="6">
        <v>206.0</v>
      </c>
    </row>
    <row r="24">
      <c r="A24" s="5" t="s">
        <v>207</v>
      </c>
      <c r="B24" s="6">
        <v>219.0</v>
      </c>
    </row>
    <row r="25">
      <c r="A25" s="5" t="s">
        <v>78</v>
      </c>
      <c r="B25" s="6">
        <v>224.0</v>
      </c>
    </row>
    <row r="26">
      <c r="A26" s="5" t="s">
        <v>69</v>
      </c>
      <c r="B26" s="6">
        <v>224.0</v>
      </c>
    </row>
    <row r="27">
      <c r="A27" s="5" t="s">
        <v>63</v>
      </c>
      <c r="B27" s="6">
        <v>230.0</v>
      </c>
    </row>
    <row r="28">
      <c r="A28" s="5" t="s">
        <v>46</v>
      </c>
      <c r="B28" s="6">
        <v>231.0</v>
      </c>
    </row>
    <row r="29">
      <c r="A29" s="5" t="s">
        <v>99</v>
      </c>
      <c r="B29" s="6">
        <v>233.0</v>
      </c>
    </row>
    <row r="30">
      <c r="A30" s="5" t="s">
        <v>98</v>
      </c>
      <c r="B30" s="6">
        <v>234.0</v>
      </c>
    </row>
    <row r="31">
      <c r="A31" s="5" t="s">
        <v>122</v>
      </c>
      <c r="B31" s="6">
        <v>236.0</v>
      </c>
    </row>
    <row r="32">
      <c r="A32" s="5" t="s">
        <v>20</v>
      </c>
      <c r="B32" s="6">
        <v>245.0</v>
      </c>
    </row>
    <row r="33">
      <c r="A33" s="5" t="s">
        <v>145</v>
      </c>
      <c r="B33" s="6">
        <v>251.0</v>
      </c>
    </row>
    <row r="34">
      <c r="A34" s="5" t="s">
        <v>81</v>
      </c>
      <c r="B34" s="6">
        <v>263.0</v>
      </c>
    </row>
    <row r="35">
      <c r="A35" s="5" t="s">
        <v>176</v>
      </c>
      <c r="B35" s="6">
        <v>270.0</v>
      </c>
    </row>
    <row r="36">
      <c r="A36" s="5" t="s">
        <v>29</v>
      </c>
      <c r="B36" s="6">
        <v>279.0</v>
      </c>
    </row>
    <row r="37">
      <c r="A37" s="5" t="s">
        <v>116</v>
      </c>
      <c r="B37" s="6">
        <v>281.0</v>
      </c>
    </row>
    <row r="38">
      <c r="A38" s="5" t="s">
        <v>171</v>
      </c>
      <c r="B38" s="6">
        <v>283.0</v>
      </c>
    </row>
    <row r="39">
      <c r="A39" s="5" t="s">
        <v>181</v>
      </c>
      <c r="B39" s="6">
        <v>284.0</v>
      </c>
    </row>
    <row r="40">
      <c r="A40" s="5" t="s">
        <v>37</v>
      </c>
      <c r="B40" s="6">
        <v>295.0</v>
      </c>
    </row>
    <row r="41">
      <c r="A41" s="5" t="s">
        <v>163</v>
      </c>
      <c r="B41" s="6">
        <v>297.0</v>
      </c>
    </row>
    <row r="42">
      <c r="A42" s="5" t="s">
        <v>104</v>
      </c>
      <c r="B42" s="6">
        <v>313.0</v>
      </c>
    </row>
    <row r="43">
      <c r="A43" s="5" t="s">
        <v>160</v>
      </c>
      <c r="B43" s="6">
        <v>343.0</v>
      </c>
    </row>
    <row r="44">
      <c r="A44" s="5" t="s">
        <v>121</v>
      </c>
      <c r="B44" s="6">
        <v>343.0</v>
      </c>
    </row>
    <row r="45">
      <c r="A45" s="5" t="s">
        <v>88</v>
      </c>
      <c r="B45" s="6">
        <v>346.0</v>
      </c>
    </row>
    <row r="46">
      <c r="A46" s="5" t="s">
        <v>66</v>
      </c>
      <c r="B46" s="6">
        <v>361.0</v>
      </c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32.13"/>
  </cols>
  <sheetData>
    <row r="2">
      <c r="A2" s="1" t="s">
        <v>4</v>
      </c>
      <c r="B2" s="1" t="s">
        <v>6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>
        <v>0.0</v>
      </c>
      <c r="C3" s="1">
        <v>0.0</v>
      </c>
      <c r="D3" s="1">
        <v>0.0</v>
      </c>
      <c r="E3" s="1">
        <v>0.0</v>
      </c>
      <c r="F3" s="1" t="s">
        <v>14</v>
      </c>
    </row>
    <row r="4">
      <c r="A4" s="1" t="s">
        <v>15</v>
      </c>
      <c r="B4" s="1">
        <v>89.0</v>
      </c>
      <c r="C4" s="1">
        <v>132.0</v>
      </c>
      <c r="D4" s="1">
        <v>54.0</v>
      </c>
      <c r="E4" s="1">
        <v>4.9</v>
      </c>
      <c r="F4" s="1" t="s">
        <v>16</v>
      </c>
    </row>
    <row r="5">
      <c r="A5" s="1" t="s">
        <v>17</v>
      </c>
      <c r="B5" s="1">
        <v>25.0</v>
      </c>
      <c r="C5" s="1">
        <v>0.0</v>
      </c>
      <c r="D5" s="1">
        <v>14.0</v>
      </c>
      <c r="E5" s="1">
        <v>0.7</v>
      </c>
      <c r="F5" s="1" t="s">
        <v>18</v>
      </c>
    </row>
    <row r="6">
      <c r="A6" s="1" t="s">
        <v>20</v>
      </c>
      <c r="B6" s="1">
        <v>245.0</v>
      </c>
      <c r="C6" s="1">
        <v>138.0</v>
      </c>
      <c r="D6" s="1">
        <v>312.0</v>
      </c>
      <c r="E6" s="1">
        <v>12.4</v>
      </c>
      <c r="F6" s="1" t="s">
        <v>16</v>
      </c>
    </row>
    <row r="7">
      <c r="A7" s="1" t="s">
        <v>21</v>
      </c>
      <c r="B7" s="1">
        <v>217.0</v>
      </c>
      <c r="C7" s="1">
        <v>57.0</v>
      </c>
      <c r="D7" s="1">
        <v>45.0</v>
      </c>
      <c r="E7" s="1">
        <v>5.9</v>
      </c>
      <c r="F7" s="1" t="s">
        <v>18</v>
      </c>
    </row>
    <row r="8">
      <c r="A8" s="1" t="s">
        <v>22</v>
      </c>
      <c r="B8" s="1">
        <v>102.0</v>
      </c>
      <c r="C8" s="1">
        <v>128.0</v>
      </c>
      <c r="D8" s="1">
        <v>45.0</v>
      </c>
      <c r="E8" s="1">
        <v>4.9</v>
      </c>
      <c r="F8" s="1" t="s">
        <v>23</v>
      </c>
    </row>
    <row r="9">
      <c r="A9" s="1" t="s">
        <v>24</v>
      </c>
      <c r="B9" s="1">
        <v>193.0</v>
      </c>
      <c r="C9" s="1">
        <v>25.0</v>
      </c>
      <c r="D9" s="1">
        <v>221.0</v>
      </c>
      <c r="E9" s="1">
        <v>8.3</v>
      </c>
      <c r="F9" s="1" t="s">
        <v>25</v>
      </c>
    </row>
    <row r="10">
      <c r="A10" s="1" t="s">
        <v>26</v>
      </c>
      <c r="B10" s="1">
        <v>21.0</v>
      </c>
      <c r="C10" s="1">
        <v>179.0</v>
      </c>
      <c r="D10" s="1">
        <v>11.0</v>
      </c>
      <c r="E10" s="1">
        <v>3.8</v>
      </c>
      <c r="F10" s="1" t="s">
        <v>16</v>
      </c>
    </row>
    <row r="11">
      <c r="A11" s="1" t="s">
        <v>27</v>
      </c>
      <c r="B11" s="1">
        <v>261.0</v>
      </c>
      <c r="C11" s="1">
        <v>72.0</v>
      </c>
      <c r="D11" s="1">
        <v>212.0</v>
      </c>
      <c r="E11" s="1">
        <v>10.4</v>
      </c>
      <c r="F11" s="1" t="s">
        <v>28</v>
      </c>
    </row>
    <row r="12">
      <c r="A12" s="1" t="s">
        <v>29</v>
      </c>
      <c r="B12" s="1">
        <v>279.0</v>
      </c>
      <c r="C12" s="1">
        <v>75.0</v>
      </c>
      <c r="D12" s="1">
        <v>191.0</v>
      </c>
      <c r="E12" s="1">
        <v>9.7</v>
      </c>
      <c r="F12" s="1" t="s">
        <v>16</v>
      </c>
    </row>
    <row r="13">
      <c r="A13" s="1" t="s">
        <v>30</v>
      </c>
      <c r="B13" s="1">
        <v>21.0</v>
      </c>
      <c r="C13" s="1">
        <v>46.0</v>
      </c>
      <c r="D13" s="1">
        <v>5.0</v>
      </c>
      <c r="E13" s="1">
        <v>1.3</v>
      </c>
      <c r="F13" s="1" t="s">
        <v>16</v>
      </c>
    </row>
    <row r="14">
      <c r="A14" s="1" t="s">
        <v>31</v>
      </c>
      <c r="B14" s="1">
        <v>122.0</v>
      </c>
      <c r="C14" s="1">
        <v>176.0</v>
      </c>
      <c r="D14" s="1">
        <v>51.0</v>
      </c>
      <c r="E14" s="1">
        <v>6.3</v>
      </c>
      <c r="F14" s="1" t="s">
        <v>23</v>
      </c>
    </row>
    <row r="15">
      <c r="A15" s="1" t="s">
        <v>33</v>
      </c>
      <c r="B15" s="1">
        <v>42.0</v>
      </c>
      <c r="C15" s="1">
        <v>63.0</v>
      </c>
      <c r="D15" s="1">
        <v>7.0</v>
      </c>
      <c r="E15" s="1">
        <v>2.0</v>
      </c>
      <c r="F15" s="1" t="s">
        <v>14</v>
      </c>
    </row>
    <row r="16">
      <c r="A16" s="1" t="s">
        <v>34</v>
      </c>
      <c r="B16" s="1">
        <v>0.0</v>
      </c>
      <c r="C16" s="1">
        <v>0.0</v>
      </c>
      <c r="D16" s="1">
        <v>0.0</v>
      </c>
      <c r="E16" s="1">
        <v>0.0</v>
      </c>
      <c r="F16" s="1" t="s">
        <v>14</v>
      </c>
    </row>
    <row r="17">
      <c r="A17" s="1" t="s">
        <v>35</v>
      </c>
      <c r="B17" s="1">
        <v>143.0</v>
      </c>
      <c r="C17" s="1">
        <v>173.0</v>
      </c>
      <c r="D17" s="1">
        <v>36.0</v>
      </c>
      <c r="E17" s="1">
        <v>6.3</v>
      </c>
      <c r="F17" s="1" t="s">
        <v>23</v>
      </c>
    </row>
    <row r="18">
      <c r="A18" s="1" t="s">
        <v>36</v>
      </c>
      <c r="B18" s="1">
        <v>142.0</v>
      </c>
      <c r="C18" s="1">
        <v>373.0</v>
      </c>
      <c r="D18" s="1">
        <v>42.0</v>
      </c>
      <c r="E18" s="1">
        <v>14.4</v>
      </c>
      <c r="F18" s="1" t="s">
        <v>16</v>
      </c>
    </row>
    <row r="19">
      <c r="A19" s="1" t="s">
        <v>37</v>
      </c>
      <c r="B19" s="1">
        <v>295.0</v>
      </c>
      <c r="C19" s="1">
        <v>84.0</v>
      </c>
      <c r="D19" s="1">
        <v>212.0</v>
      </c>
      <c r="E19" s="1">
        <v>10.5</v>
      </c>
      <c r="F19" s="1" t="s">
        <v>16</v>
      </c>
    </row>
    <row r="20">
      <c r="A20" s="1" t="s">
        <v>38</v>
      </c>
      <c r="B20" s="1">
        <v>263.0</v>
      </c>
      <c r="C20" s="1">
        <v>114.0</v>
      </c>
      <c r="D20" s="1">
        <v>8.0</v>
      </c>
      <c r="E20" s="1">
        <v>6.8</v>
      </c>
      <c r="F20" s="1" t="s">
        <v>23</v>
      </c>
    </row>
    <row r="21">
      <c r="A21" s="1" t="s">
        <v>39</v>
      </c>
      <c r="B21" s="1">
        <v>34.0</v>
      </c>
      <c r="C21" s="1">
        <v>4.0</v>
      </c>
      <c r="D21" s="1">
        <v>13.0</v>
      </c>
      <c r="E21" s="1">
        <v>1.1</v>
      </c>
      <c r="F21" s="1" t="s">
        <v>18</v>
      </c>
    </row>
    <row r="22">
      <c r="A22" s="1" t="s">
        <v>40</v>
      </c>
      <c r="B22" s="1">
        <v>23.0</v>
      </c>
      <c r="C22" s="1">
        <v>0.0</v>
      </c>
      <c r="D22" s="1">
        <v>0.0</v>
      </c>
      <c r="E22" s="1">
        <v>0.4</v>
      </c>
      <c r="F22" s="1" t="s">
        <v>14</v>
      </c>
    </row>
    <row r="23">
      <c r="A23" s="1" t="s">
        <v>41</v>
      </c>
      <c r="B23" s="1">
        <v>167.0</v>
      </c>
      <c r="C23" s="1">
        <v>41.0</v>
      </c>
      <c r="D23" s="1">
        <v>8.0</v>
      </c>
      <c r="E23" s="1">
        <v>3.8</v>
      </c>
      <c r="F23" s="1" t="s">
        <v>25</v>
      </c>
    </row>
    <row r="24">
      <c r="A24" s="1" t="s">
        <v>42</v>
      </c>
      <c r="B24" s="1">
        <v>76.0</v>
      </c>
      <c r="C24" s="1">
        <v>173.0</v>
      </c>
      <c r="D24" s="1">
        <v>8.0</v>
      </c>
      <c r="E24" s="1">
        <v>4.6</v>
      </c>
      <c r="F24" s="1" t="s">
        <v>16</v>
      </c>
    </row>
    <row r="25">
      <c r="A25" s="1" t="s">
        <v>43</v>
      </c>
      <c r="B25" s="1">
        <v>173.0</v>
      </c>
      <c r="C25" s="1">
        <v>35.0</v>
      </c>
      <c r="D25" s="1">
        <v>35.0</v>
      </c>
      <c r="E25" s="1">
        <v>5.4</v>
      </c>
      <c r="F25" s="1" t="s">
        <v>18</v>
      </c>
    </row>
    <row r="26">
      <c r="A26" s="1" t="s">
        <v>44</v>
      </c>
      <c r="B26" s="1">
        <v>245.0</v>
      </c>
      <c r="C26" s="1">
        <v>145.0</v>
      </c>
      <c r="D26" s="1">
        <v>16.0</v>
      </c>
      <c r="E26" s="1">
        <v>7.2</v>
      </c>
      <c r="F26" s="1" t="s">
        <v>25</v>
      </c>
    </row>
    <row r="27">
      <c r="A27" s="1" t="s">
        <v>45</v>
      </c>
      <c r="B27" s="1">
        <v>31.0</v>
      </c>
      <c r="C27" s="1">
        <v>2.0</v>
      </c>
      <c r="D27" s="1">
        <v>1.0</v>
      </c>
      <c r="E27" s="1">
        <v>0.6</v>
      </c>
      <c r="F27" s="1" t="s">
        <v>14</v>
      </c>
    </row>
    <row r="28">
      <c r="A28" s="1" t="s">
        <v>46</v>
      </c>
      <c r="B28" s="1">
        <v>231.0</v>
      </c>
      <c r="C28" s="1">
        <v>252.0</v>
      </c>
      <c r="D28" s="1">
        <v>94.0</v>
      </c>
      <c r="E28" s="1">
        <v>10.3</v>
      </c>
      <c r="F28" s="1" t="s">
        <v>16</v>
      </c>
    </row>
    <row r="29">
      <c r="A29" s="1" t="s">
        <v>47</v>
      </c>
      <c r="B29" s="1">
        <v>25.0</v>
      </c>
      <c r="C29" s="1">
        <v>7.0</v>
      </c>
      <c r="D29" s="1">
        <v>7.0</v>
      </c>
      <c r="E29" s="1">
        <v>4.3</v>
      </c>
      <c r="F29" s="1" t="s">
        <v>18</v>
      </c>
    </row>
    <row r="30">
      <c r="A30" s="1" t="s">
        <v>48</v>
      </c>
      <c r="B30" s="1">
        <v>88.0</v>
      </c>
      <c r="C30" s="1">
        <v>0.0</v>
      </c>
      <c r="D30" s="1">
        <v>0.0</v>
      </c>
      <c r="E30" s="1">
        <v>6.3</v>
      </c>
      <c r="F30" s="1" t="s">
        <v>18</v>
      </c>
    </row>
    <row r="31">
      <c r="A31" s="1" t="s">
        <v>49</v>
      </c>
      <c r="B31" s="1">
        <v>37.0</v>
      </c>
      <c r="C31" s="1">
        <v>1.0</v>
      </c>
      <c r="D31" s="1">
        <v>7.0</v>
      </c>
      <c r="E31" s="1">
        <v>4.0</v>
      </c>
      <c r="F31" s="1" t="s">
        <v>18</v>
      </c>
    </row>
    <row r="32">
      <c r="A32" s="1" t="s">
        <v>50</v>
      </c>
      <c r="B32" s="1">
        <v>144.0</v>
      </c>
      <c r="C32" s="1">
        <v>56.0</v>
      </c>
      <c r="D32" s="1">
        <v>16.0</v>
      </c>
      <c r="E32" s="1">
        <v>4.0</v>
      </c>
      <c r="F32" s="1" t="s">
        <v>18</v>
      </c>
    </row>
    <row r="33">
      <c r="A33" s="1" t="s">
        <v>51</v>
      </c>
      <c r="B33" s="1">
        <v>57.0</v>
      </c>
      <c r="C33" s="1">
        <v>65.0</v>
      </c>
      <c r="D33" s="1">
        <v>1.0</v>
      </c>
      <c r="E33" s="1">
        <v>2.2</v>
      </c>
      <c r="F33" s="1" t="s">
        <v>14</v>
      </c>
    </row>
    <row r="34">
      <c r="A34" s="1" t="s">
        <v>52</v>
      </c>
      <c r="B34" s="1">
        <v>147.0</v>
      </c>
      <c r="C34" s="1">
        <v>1.0</v>
      </c>
      <c r="D34" s="1">
        <v>4.0</v>
      </c>
      <c r="E34" s="1">
        <v>5.8</v>
      </c>
      <c r="F34" s="1" t="s">
        <v>18</v>
      </c>
    </row>
    <row r="35">
      <c r="A35" s="1" t="s">
        <v>53</v>
      </c>
      <c r="B35" s="1">
        <v>240.0</v>
      </c>
      <c r="C35" s="1">
        <v>122.0</v>
      </c>
      <c r="D35" s="1">
        <v>100.0</v>
      </c>
      <c r="E35" s="1">
        <v>8.2</v>
      </c>
      <c r="F35" s="1" t="s">
        <v>23</v>
      </c>
    </row>
    <row r="36">
      <c r="A36" s="1" t="s">
        <v>54</v>
      </c>
      <c r="B36" s="1">
        <v>17.0</v>
      </c>
      <c r="C36" s="1">
        <v>2.0</v>
      </c>
      <c r="D36" s="1">
        <v>1.0</v>
      </c>
      <c r="E36" s="1">
        <v>1.8</v>
      </c>
      <c r="F36" s="1" t="s">
        <v>18</v>
      </c>
      <c r="H36" s="1"/>
    </row>
    <row r="37">
      <c r="A37" s="1" t="s">
        <v>55</v>
      </c>
      <c r="B37" s="1">
        <v>15.0</v>
      </c>
      <c r="C37" s="1">
        <v>1.0</v>
      </c>
      <c r="D37" s="1">
        <v>1.0</v>
      </c>
      <c r="E37" s="1">
        <v>0.4</v>
      </c>
      <c r="F37" s="1" t="s">
        <v>18</v>
      </c>
    </row>
    <row r="38">
      <c r="A38" s="1" t="s">
        <v>56</v>
      </c>
      <c r="B38" s="1">
        <v>130.0</v>
      </c>
      <c r="C38" s="1">
        <v>124.0</v>
      </c>
      <c r="D38" s="1">
        <v>172.0</v>
      </c>
      <c r="E38" s="1">
        <v>7.6</v>
      </c>
      <c r="F38" s="1" t="s">
        <v>25</v>
      </c>
    </row>
    <row r="39">
      <c r="A39" s="1" t="s">
        <v>57</v>
      </c>
      <c r="B39" s="1">
        <v>79.0</v>
      </c>
      <c r="C39" s="1">
        <v>192.0</v>
      </c>
      <c r="D39" s="1">
        <v>8.0</v>
      </c>
      <c r="E39" s="1">
        <v>5.0</v>
      </c>
      <c r="F39" s="1" t="s">
        <v>14</v>
      </c>
    </row>
    <row r="40">
      <c r="A40" s="1" t="s">
        <v>58</v>
      </c>
      <c r="B40" s="1">
        <v>159.0</v>
      </c>
      <c r="C40" s="1">
        <v>76.0</v>
      </c>
      <c r="D40" s="1">
        <v>3.0</v>
      </c>
      <c r="E40" s="1">
        <v>4.2</v>
      </c>
      <c r="F40" s="1" t="s">
        <v>25</v>
      </c>
    </row>
    <row r="41">
      <c r="A41" s="1" t="s">
        <v>59</v>
      </c>
      <c r="B41" s="1">
        <v>1.0</v>
      </c>
      <c r="C41" s="1">
        <v>3.0</v>
      </c>
      <c r="D41" s="1">
        <v>1.0</v>
      </c>
      <c r="E41" s="1">
        <v>0.1</v>
      </c>
      <c r="F41" s="1" t="s">
        <v>18</v>
      </c>
    </row>
    <row r="42">
      <c r="A42" s="1" t="s">
        <v>60</v>
      </c>
      <c r="B42" s="1">
        <v>76.0</v>
      </c>
      <c r="C42" s="1">
        <v>1.0</v>
      </c>
      <c r="D42" s="1">
        <v>9.0</v>
      </c>
      <c r="E42" s="1">
        <v>1.7</v>
      </c>
      <c r="F42" s="1" t="s">
        <v>18</v>
      </c>
    </row>
    <row r="43">
      <c r="A43" s="1" t="s">
        <v>61</v>
      </c>
      <c r="B43" s="1">
        <v>0.0</v>
      </c>
      <c r="C43" s="1">
        <v>254.0</v>
      </c>
      <c r="D43" s="1">
        <v>74.0</v>
      </c>
      <c r="E43" s="1">
        <v>5.9</v>
      </c>
      <c r="F43" s="1" t="s">
        <v>28</v>
      </c>
    </row>
    <row r="44">
      <c r="A44" s="1" t="s">
        <v>62</v>
      </c>
      <c r="B44" s="1">
        <v>149.0</v>
      </c>
      <c r="C44" s="1">
        <v>87.0</v>
      </c>
      <c r="D44" s="1">
        <v>11.0</v>
      </c>
      <c r="E44" s="1">
        <v>4.4</v>
      </c>
      <c r="F44" s="1" t="s">
        <v>23</v>
      </c>
    </row>
    <row r="45">
      <c r="A45" s="1" t="s">
        <v>63</v>
      </c>
      <c r="B45" s="1">
        <v>230.0</v>
      </c>
      <c r="C45" s="1">
        <v>87.0</v>
      </c>
      <c r="D45" s="1">
        <v>254.0</v>
      </c>
      <c r="E45" s="1">
        <v>10.2</v>
      </c>
      <c r="F45" s="1" t="s">
        <v>16</v>
      </c>
    </row>
    <row r="46">
      <c r="A46" s="1" t="s">
        <v>64</v>
      </c>
      <c r="B46" s="1">
        <v>93.0</v>
      </c>
      <c r="C46" s="1">
        <v>137.0</v>
      </c>
      <c r="D46" s="1">
        <v>5.0</v>
      </c>
      <c r="E46" s="1">
        <v>4.2</v>
      </c>
      <c r="F46" s="1" t="s">
        <v>23</v>
      </c>
    </row>
    <row r="47">
      <c r="A47" s="1" t="s">
        <v>65</v>
      </c>
      <c r="B47" s="1">
        <v>192.0</v>
      </c>
      <c r="C47" s="1">
        <v>154.0</v>
      </c>
      <c r="D47" s="1">
        <v>113.0</v>
      </c>
      <c r="E47" s="1">
        <v>8.2</v>
      </c>
      <c r="F47" s="1" t="s">
        <v>16</v>
      </c>
    </row>
    <row r="48">
      <c r="A48" s="1" t="s">
        <v>66</v>
      </c>
      <c r="B48" s="1">
        <v>361.0</v>
      </c>
      <c r="C48" s="1">
        <v>170.0</v>
      </c>
      <c r="D48" s="1">
        <v>134.0</v>
      </c>
      <c r="E48" s="1">
        <v>11.8</v>
      </c>
      <c r="F48" s="1" t="s">
        <v>16</v>
      </c>
    </row>
    <row r="49">
      <c r="A49" s="1" t="s">
        <v>67</v>
      </c>
      <c r="B49" s="1">
        <v>0.0</v>
      </c>
      <c r="C49" s="1">
        <v>0.0</v>
      </c>
      <c r="D49" s="1">
        <v>0.0</v>
      </c>
      <c r="E49" s="1">
        <v>0.0</v>
      </c>
      <c r="F49" s="1" t="s">
        <v>14</v>
      </c>
    </row>
    <row r="50">
      <c r="A50" s="1" t="s">
        <v>68</v>
      </c>
      <c r="B50" s="1">
        <v>32.0</v>
      </c>
      <c r="C50" s="1">
        <v>3.0</v>
      </c>
      <c r="D50" s="1">
        <v>1.0</v>
      </c>
      <c r="E50" s="1">
        <v>2.3</v>
      </c>
      <c r="F50" s="1" t="s">
        <v>18</v>
      </c>
    </row>
    <row r="51">
      <c r="A51" s="1" t="s">
        <v>69</v>
      </c>
      <c r="B51" s="1">
        <v>224.0</v>
      </c>
      <c r="C51" s="1">
        <v>81.0</v>
      </c>
      <c r="D51" s="1">
        <v>278.0</v>
      </c>
      <c r="E51" s="1">
        <v>10.4</v>
      </c>
      <c r="F51" s="1" t="s">
        <v>16</v>
      </c>
    </row>
    <row r="52">
      <c r="A52" s="1" t="s">
        <v>70</v>
      </c>
      <c r="B52" s="1">
        <v>15.0</v>
      </c>
      <c r="C52" s="1">
        <v>44.0</v>
      </c>
      <c r="D52" s="1">
        <v>3.0</v>
      </c>
      <c r="E52" s="1">
        <v>1.1</v>
      </c>
      <c r="F52" s="1" t="s">
        <v>18</v>
      </c>
    </row>
    <row r="53">
      <c r="A53" s="1" t="s">
        <v>71</v>
      </c>
      <c r="B53" s="1">
        <v>52.0</v>
      </c>
      <c r="C53" s="1">
        <v>286.0</v>
      </c>
      <c r="D53" s="1">
        <v>26.0</v>
      </c>
      <c r="E53" s="1">
        <v>6.6</v>
      </c>
      <c r="F53" s="1" t="s">
        <v>23</v>
      </c>
    </row>
    <row r="54">
      <c r="A54" s="1" t="s">
        <v>72</v>
      </c>
      <c r="B54" s="1">
        <v>193.0</v>
      </c>
      <c r="C54" s="1">
        <v>147.0</v>
      </c>
      <c r="D54" s="1">
        <v>9.0</v>
      </c>
      <c r="E54" s="1">
        <v>6.2</v>
      </c>
      <c r="F54" s="1" t="s">
        <v>23</v>
      </c>
    </row>
    <row r="55">
      <c r="A55" s="1" t="s">
        <v>73</v>
      </c>
      <c r="B55" s="1">
        <v>162.0</v>
      </c>
      <c r="C55" s="1">
        <v>74.0</v>
      </c>
      <c r="D55" s="1">
        <v>3.0</v>
      </c>
      <c r="E55" s="1">
        <v>4.2</v>
      </c>
      <c r="F55" s="1" t="s">
        <v>25</v>
      </c>
    </row>
    <row r="56">
      <c r="A56" s="1" t="s">
        <v>74</v>
      </c>
      <c r="B56" s="1">
        <v>6.0</v>
      </c>
      <c r="C56" s="1">
        <v>4.0</v>
      </c>
      <c r="D56" s="1">
        <v>1.0</v>
      </c>
      <c r="E56" s="1">
        <v>0.2</v>
      </c>
      <c r="F56" s="1" t="s">
        <v>18</v>
      </c>
    </row>
    <row r="57">
      <c r="A57" s="1" t="s">
        <v>75</v>
      </c>
      <c r="B57" s="1">
        <v>52.0</v>
      </c>
      <c r="C57" s="1">
        <v>69.0</v>
      </c>
      <c r="D57" s="1">
        <v>2.0</v>
      </c>
      <c r="E57" s="1">
        <v>2.2</v>
      </c>
      <c r="F57" s="1" t="s">
        <v>23</v>
      </c>
    </row>
    <row r="58">
      <c r="A58" s="1" t="s">
        <v>76</v>
      </c>
      <c r="B58" s="1">
        <v>92.0</v>
      </c>
      <c r="C58" s="1">
        <v>0.0</v>
      </c>
      <c r="D58" s="1">
        <v>233.0</v>
      </c>
      <c r="E58" s="1">
        <v>5.8</v>
      </c>
      <c r="F58" s="1" t="s">
        <v>18</v>
      </c>
    </row>
    <row r="59">
      <c r="A59" s="1" t="s">
        <v>77</v>
      </c>
      <c r="B59" s="1">
        <v>18.0</v>
      </c>
      <c r="C59" s="1">
        <v>0.0</v>
      </c>
      <c r="D59" s="1">
        <v>0.0</v>
      </c>
      <c r="E59" s="1">
        <v>0.5</v>
      </c>
      <c r="F59" s="1" t="s">
        <v>18</v>
      </c>
    </row>
    <row r="60">
      <c r="A60" s="1" t="s">
        <v>78</v>
      </c>
      <c r="B60" s="1">
        <v>224.0</v>
      </c>
      <c r="C60" s="1">
        <v>194.0</v>
      </c>
      <c r="D60" s="1">
        <v>59.0</v>
      </c>
      <c r="E60" s="1">
        <v>9.5</v>
      </c>
      <c r="F60" s="1" t="s">
        <v>16</v>
      </c>
    </row>
    <row r="61">
      <c r="A61" s="1" t="s">
        <v>79</v>
      </c>
      <c r="B61" s="1">
        <v>20.0</v>
      </c>
      <c r="C61" s="1">
        <v>3.0</v>
      </c>
      <c r="D61" s="1">
        <v>0.0</v>
      </c>
      <c r="E61" s="1">
        <v>0.7</v>
      </c>
      <c r="F61" s="1" t="s">
        <v>18</v>
      </c>
    </row>
    <row r="62">
      <c r="A62" s="1" t="s">
        <v>80</v>
      </c>
      <c r="B62" s="1">
        <v>77.0</v>
      </c>
      <c r="C62" s="1">
        <v>35.0</v>
      </c>
      <c r="D62" s="1">
        <v>1.0</v>
      </c>
      <c r="E62" s="1">
        <v>2.0</v>
      </c>
      <c r="F62" s="1" t="s">
        <v>28</v>
      </c>
    </row>
    <row r="63">
      <c r="A63" s="1" t="s">
        <v>81</v>
      </c>
      <c r="B63" s="1">
        <v>263.0</v>
      </c>
      <c r="C63" s="1">
        <v>133.0</v>
      </c>
      <c r="D63" s="1">
        <v>97.0</v>
      </c>
      <c r="E63" s="1">
        <v>10.0</v>
      </c>
      <c r="F63" s="1" t="s">
        <v>16</v>
      </c>
    </row>
    <row r="64">
      <c r="A64" s="1" t="s">
        <v>82</v>
      </c>
      <c r="B64" s="1">
        <v>127.0</v>
      </c>
      <c r="C64" s="1">
        <v>151.0</v>
      </c>
      <c r="D64" s="1">
        <v>370.0</v>
      </c>
      <c r="E64" s="1">
        <v>11.8</v>
      </c>
      <c r="F64" s="1" t="s">
        <v>16</v>
      </c>
    </row>
    <row r="65">
      <c r="A65" s="1" t="s">
        <v>83</v>
      </c>
      <c r="B65" s="1">
        <v>347.0</v>
      </c>
      <c r="C65" s="1">
        <v>98.0</v>
      </c>
      <c r="D65" s="1">
        <v>59.0</v>
      </c>
      <c r="E65" s="1">
        <v>8.9</v>
      </c>
      <c r="F65" s="1" t="s">
        <v>18</v>
      </c>
    </row>
    <row r="66">
      <c r="A66" s="1" t="s">
        <v>86</v>
      </c>
      <c r="B66" s="1">
        <v>8.0</v>
      </c>
      <c r="C66" s="1">
        <v>0.0</v>
      </c>
      <c r="D66" s="1">
        <v>1.0</v>
      </c>
      <c r="E66" s="1">
        <v>2.4</v>
      </c>
      <c r="F66" s="1" t="s">
        <v>18</v>
      </c>
    </row>
    <row r="67">
      <c r="A67" s="1" t="s">
        <v>87</v>
      </c>
      <c r="B67" s="1">
        <v>52.0</v>
      </c>
      <c r="C67" s="1">
        <v>100.0</v>
      </c>
      <c r="D67" s="1">
        <v>149.0</v>
      </c>
      <c r="E67" s="1">
        <v>5.4</v>
      </c>
      <c r="F67" s="1" t="s">
        <v>16</v>
      </c>
    </row>
    <row r="68">
      <c r="A68" s="1" t="s">
        <v>88</v>
      </c>
      <c r="B68" s="1">
        <v>346.0</v>
      </c>
      <c r="C68" s="1">
        <v>117.0</v>
      </c>
      <c r="D68" s="1">
        <v>175.0</v>
      </c>
      <c r="E68" s="1">
        <v>11.3</v>
      </c>
      <c r="F68" s="1" t="s">
        <v>16</v>
      </c>
    </row>
    <row r="69">
      <c r="A69" s="1" t="s">
        <v>89</v>
      </c>
      <c r="B69" s="1">
        <v>31.0</v>
      </c>
      <c r="C69" s="1">
        <v>3.0</v>
      </c>
      <c r="D69" s="1">
        <v>10.0</v>
      </c>
      <c r="E69" s="1">
        <v>1.8</v>
      </c>
      <c r="F69" s="1" t="s">
        <v>18</v>
      </c>
    </row>
    <row r="70">
      <c r="A70" s="1" t="s">
        <v>90</v>
      </c>
      <c r="B70" s="1">
        <v>133.0</v>
      </c>
      <c r="C70" s="1">
        <v>112.0</v>
      </c>
      <c r="D70" s="1">
        <v>218.0</v>
      </c>
      <c r="E70" s="1">
        <v>8.3</v>
      </c>
      <c r="F70" s="1" t="s">
        <v>16</v>
      </c>
    </row>
    <row r="71">
      <c r="A71" s="1" t="s">
        <v>91</v>
      </c>
      <c r="B71" s="1">
        <v>199.0</v>
      </c>
      <c r="C71" s="1">
        <v>438.0</v>
      </c>
      <c r="D71" s="1">
        <v>28.0</v>
      </c>
      <c r="E71" s="1">
        <v>11.9</v>
      </c>
      <c r="F71" s="1" t="s">
        <v>23</v>
      </c>
    </row>
    <row r="72">
      <c r="A72" s="1" t="s">
        <v>92</v>
      </c>
      <c r="B72" s="1">
        <v>53.0</v>
      </c>
      <c r="C72" s="1">
        <v>69.0</v>
      </c>
      <c r="D72" s="1">
        <v>2.0</v>
      </c>
      <c r="E72" s="1">
        <v>2.2</v>
      </c>
      <c r="F72" s="1" t="s">
        <v>23</v>
      </c>
    </row>
    <row r="73">
      <c r="A73" s="1" t="s">
        <v>93</v>
      </c>
      <c r="B73" s="1">
        <v>9.0</v>
      </c>
      <c r="C73" s="1">
        <v>0.0</v>
      </c>
      <c r="D73" s="1">
        <v>2.0</v>
      </c>
      <c r="E73" s="1">
        <v>0.2</v>
      </c>
      <c r="F73" s="1" t="s">
        <v>18</v>
      </c>
    </row>
    <row r="74">
      <c r="A74" s="1" t="s">
        <v>94</v>
      </c>
      <c r="B74" s="1">
        <v>28.0</v>
      </c>
      <c r="C74" s="1">
        <v>31.0</v>
      </c>
      <c r="D74" s="1">
        <v>21.0</v>
      </c>
      <c r="E74" s="1">
        <v>2.5</v>
      </c>
      <c r="F74" s="1" t="s">
        <v>18</v>
      </c>
    </row>
    <row r="75">
      <c r="A75" s="1" t="s">
        <v>95</v>
      </c>
      <c r="B75" s="1">
        <v>93.0</v>
      </c>
      <c r="C75" s="1">
        <v>302.0</v>
      </c>
      <c r="D75" s="1">
        <v>1.0</v>
      </c>
      <c r="E75" s="1">
        <v>7.1</v>
      </c>
      <c r="F75" s="1" t="s">
        <v>25</v>
      </c>
    </row>
    <row r="76">
      <c r="A76" s="1" t="s">
        <v>96</v>
      </c>
      <c r="B76" s="1">
        <v>1.0</v>
      </c>
      <c r="C76" s="1">
        <v>326.0</v>
      </c>
      <c r="D76" s="1">
        <v>1.0</v>
      </c>
      <c r="E76" s="1">
        <v>5.9</v>
      </c>
      <c r="F76" s="1" t="s">
        <v>23</v>
      </c>
    </row>
    <row r="77">
      <c r="A77" s="1" t="s">
        <v>97</v>
      </c>
      <c r="B77" s="1">
        <v>69.0</v>
      </c>
      <c r="C77" s="1">
        <v>98.0</v>
      </c>
      <c r="D77" s="1">
        <v>2.0</v>
      </c>
      <c r="E77" s="1">
        <v>3.0</v>
      </c>
      <c r="F77" s="1" t="s">
        <v>23</v>
      </c>
    </row>
    <row r="78">
      <c r="A78" s="1" t="s">
        <v>98</v>
      </c>
      <c r="B78" s="1">
        <v>234.0</v>
      </c>
      <c r="C78" s="1">
        <v>215.0</v>
      </c>
      <c r="D78" s="1">
        <v>185.0</v>
      </c>
      <c r="E78" s="1">
        <v>11.3</v>
      </c>
      <c r="F78" s="1" t="s">
        <v>16</v>
      </c>
    </row>
    <row r="79">
      <c r="A79" s="1" t="s">
        <v>99</v>
      </c>
      <c r="B79" s="1">
        <v>233.0</v>
      </c>
      <c r="C79" s="1">
        <v>61.0</v>
      </c>
      <c r="D79" s="1">
        <v>78.0</v>
      </c>
      <c r="E79" s="1">
        <v>6.6</v>
      </c>
      <c r="F79" s="1" t="s">
        <v>16</v>
      </c>
    </row>
    <row r="80">
      <c r="A80" s="1" t="s">
        <v>100</v>
      </c>
      <c r="B80" s="1">
        <v>9.0</v>
      </c>
      <c r="C80" s="1">
        <v>114.0</v>
      </c>
      <c r="D80" s="1">
        <v>0.0</v>
      </c>
      <c r="E80" s="1">
        <v>2.2</v>
      </c>
      <c r="F80" s="1" t="s">
        <v>14</v>
      </c>
    </row>
    <row r="81">
      <c r="A81" s="1" t="s">
        <v>101</v>
      </c>
      <c r="B81" s="1">
        <v>5.0</v>
      </c>
      <c r="C81" s="1">
        <v>1.0</v>
      </c>
      <c r="D81" s="1">
        <v>0.0</v>
      </c>
      <c r="E81" s="1">
        <v>0.1</v>
      </c>
      <c r="F81" s="1" t="s">
        <v>14</v>
      </c>
    </row>
    <row r="82">
      <c r="A82" s="1" t="s">
        <v>102</v>
      </c>
      <c r="B82" s="1">
        <v>0.0</v>
      </c>
      <c r="C82" s="1">
        <v>0.0</v>
      </c>
      <c r="D82" s="1">
        <v>0.0</v>
      </c>
      <c r="E82" s="1">
        <v>0.0</v>
      </c>
      <c r="F82" s="1" t="s">
        <v>14</v>
      </c>
    </row>
    <row r="83">
      <c r="A83" s="1" t="s">
        <v>103</v>
      </c>
      <c r="B83" s="1">
        <v>9.0</v>
      </c>
      <c r="C83" s="1">
        <v>3.0</v>
      </c>
      <c r="D83" s="1">
        <v>0.0</v>
      </c>
      <c r="E83" s="1">
        <v>0.2</v>
      </c>
      <c r="F83" s="1" t="s">
        <v>14</v>
      </c>
    </row>
    <row r="84">
      <c r="A84" s="1" t="s">
        <v>104</v>
      </c>
      <c r="B84" s="1">
        <v>313.0</v>
      </c>
      <c r="C84" s="1">
        <v>118.0</v>
      </c>
      <c r="D84" s="1">
        <v>165.0</v>
      </c>
      <c r="E84" s="1">
        <v>11.4</v>
      </c>
      <c r="F84" s="1" t="s">
        <v>16</v>
      </c>
    </row>
    <row r="85">
      <c r="A85" s="1" t="s">
        <v>105</v>
      </c>
      <c r="B85" s="1">
        <v>63.0</v>
      </c>
      <c r="C85" s="1">
        <v>69.0</v>
      </c>
      <c r="D85" s="1">
        <v>9.0</v>
      </c>
      <c r="E85" s="1">
        <v>2.5</v>
      </c>
      <c r="F85" s="1" t="s">
        <v>14</v>
      </c>
    </row>
    <row r="86">
      <c r="A86" s="1" t="s">
        <v>106</v>
      </c>
      <c r="B86" s="1">
        <v>85.0</v>
      </c>
      <c r="C86" s="1">
        <v>42.0</v>
      </c>
      <c r="D86" s="1">
        <v>237.0</v>
      </c>
      <c r="E86" s="1">
        <v>6.5</v>
      </c>
      <c r="F86" s="1" t="s">
        <v>16</v>
      </c>
    </row>
    <row r="87">
      <c r="A87" s="1" t="s">
        <v>107</v>
      </c>
      <c r="B87" s="1">
        <v>82.0</v>
      </c>
      <c r="C87" s="1">
        <v>97.0</v>
      </c>
      <c r="D87" s="1">
        <v>9.0</v>
      </c>
      <c r="E87" s="1">
        <v>3.4</v>
      </c>
      <c r="F87" s="1" t="s">
        <v>23</v>
      </c>
    </row>
    <row r="88">
      <c r="A88" s="1" t="s">
        <v>108</v>
      </c>
      <c r="B88" s="1">
        <v>77.0</v>
      </c>
      <c r="C88" s="1">
        <v>202.0</v>
      </c>
      <c r="D88" s="1">
        <v>16.0</v>
      </c>
      <c r="E88" s="1">
        <v>7.0</v>
      </c>
      <c r="F88" s="1" t="s">
        <v>14</v>
      </c>
    </row>
    <row r="89">
      <c r="A89" s="1" t="s">
        <v>109</v>
      </c>
      <c r="B89" s="1">
        <v>6.0</v>
      </c>
      <c r="C89" s="1">
        <v>21.0</v>
      </c>
      <c r="D89" s="1">
        <v>1.0</v>
      </c>
      <c r="E89" s="1">
        <v>0.5</v>
      </c>
      <c r="F89" s="1" t="s">
        <v>14</v>
      </c>
    </row>
    <row r="90">
      <c r="A90" s="1" t="s">
        <v>110</v>
      </c>
      <c r="B90" s="1">
        <v>124.0</v>
      </c>
      <c r="C90" s="1">
        <v>246.0</v>
      </c>
      <c r="D90" s="1">
        <v>12.0</v>
      </c>
      <c r="E90" s="1">
        <v>6.8</v>
      </c>
      <c r="F90" s="1" t="s">
        <v>14</v>
      </c>
    </row>
    <row r="91">
      <c r="A91" s="1" t="s">
        <v>111</v>
      </c>
      <c r="B91" s="1">
        <v>58.0</v>
      </c>
      <c r="C91" s="1">
        <v>22.0</v>
      </c>
      <c r="D91" s="1">
        <v>2.0</v>
      </c>
      <c r="E91" s="1">
        <v>1.8</v>
      </c>
      <c r="F91" s="1" t="s">
        <v>18</v>
      </c>
    </row>
    <row r="92">
      <c r="A92" s="1" t="s">
        <v>112</v>
      </c>
      <c r="B92" s="1">
        <v>21.0</v>
      </c>
      <c r="C92" s="1">
        <v>34.0</v>
      </c>
      <c r="D92" s="1">
        <v>1.0</v>
      </c>
      <c r="E92" s="1">
        <v>1.0</v>
      </c>
      <c r="F92" s="1" t="s">
        <v>28</v>
      </c>
    </row>
    <row r="93">
      <c r="A93" s="1" t="s">
        <v>113</v>
      </c>
      <c r="B93" s="1">
        <v>0.0</v>
      </c>
      <c r="C93" s="1">
        <v>0.0</v>
      </c>
      <c r="D93" s="1">
        <v>0.0</v>
      </c>
      <c r="E93" s="1">
        <v>0.0</v>
      </c>
      <c r="F93" s="1" t="s">
        <v>14</v>
      </c>
    </row>
    <row r="94">
      <c r="A94" s="1" t="s">
        <v>114</v>
      </c>
      <c r="B94" s="1">
        <v>31.0</v>
      </c>
      <c r="C94" s="1">
        <v>97.0</v>
      </c>
      <c r="D94" s="1">
        <v>6.0</v>
      </c>
      <c r="E94" s="1">
        <v>2.4</v>
      </c>
      <c r="F94" s="1" t="s">
        <v>14</v>
      </c>
    </row>
    <row r="95">
      <c r="A95" s="1" t="s">
        <v>115</v>
      </c>
      <c r="B95" s="1">
        <v>62.0</v>
      </c>
      <c r="C95" s="1">
        <v>0.0</v>
      </c>
      <c r="D95" s="1">
        <v>123.0</v>
      </c>
      <c r="E95" s="1">
        <v>6.2</v>
      </c>
      <c r="F95" s="1" t="s">
        <v>14</v>
      </c>
    </row>
    <row r="96">
      <c r="A96" s="1" t="s">
        <v>116</v>
      </c>
      <c r="B96" s="1">
        <v>281.0</v>
      </c>
      <c r="C96" s="1">
        <v>216.0</v>
      </c>
      <c r="D96" s="1">
        <v>62.0</v>
      </c>
      <c r="E96" s="1">
        <v>10.5</v>
      </c>
      <c r="F96" s="1" t="s">
        <v>16</v>
      </c>
    </row>
    <row r="97">
      <c r="A97" s="1" t="s">
        <v>117</v>
      </c>
      <c r="B97" s="1">
        <v>20.0</v>
      </c>
      <c r="C97" s="1">
        <v>55.0</v>
      </c>
      <c r="D97" s="1">
        <v>31.0</v>
      </c>
      <c r="E97" s="1">
        <v>1.9</v>
      </c>
      <c r="F97" s="1" t="s">
        <v>14</v>
      </c>
    </row>
    <row r="98">
      <c r="A98" s="1" t="s">
        <v>118</v>
      </c>
      <c r="B98" s="1">
        <v>82.0</v>
      </c>
      <c r="C98" s="1">
        <v>29.0</v>
      </c>
      <c r="D98" s="1">
        <v>0.0</v>
      </c>
      <c r="E98" s="1">
        <v>2.8</v>
      </c>
      <c r="F98" s="1" t="s">
        <v>18</v>
      </c>
    </row>
    <row r="99">
      <c r="A99" s="1" t="s">
        <v>119</v>
      </c>
      <c r="B99" s="1">
        <v>19.0</v>
      </c>
      <c r="C99" s="1">
        <v>152.0</v>
      </c>
      <c r="D99" s="1">
        <v>2.0</v>
      </c>
      <c r="E99" s="1">
        <v>3.1</v>
      </c>
      <c r="F99" s="1" t="s">
        <v>18</v>
      </c>
    </row>
    <row r="100">
      <c r="A100" s="1" t="s">
        <v>120</v>
      </c>
      <c r="B100" s="1">
        <v>0.0</v>
      </c>
      <c r="C100" s="1">
        <v>0.0</v>
      </c>
      <c r="D100" s="1">
        <v>0.0</v>
      </c>
      <c r="E100" s="1">
        <v>0.0</v>
      </c>
      <c r="F100" s="1" t="s">
        <v>18</v>
      </c>
    </row>
    <row r="101">
      <c r="A101" s="1" t="s">
        <v>121</v>
      </c>
      <c r="B101" s="1">
        <v>343.0</v>
      </c>
      <c r="C101" s="1">
        <v>244.0</v>
      </c>
      <c r="D101" s="1">
        <v>56.0</v>
      </c>
      <c r="E101" s="1">
        <v>12.9</v>
      </c>
      <c r="F101" s="1" t="s">
        <v>16</v>
      </c>
    </row>
    <row r="102">
      <c r="A102" s="1" t="s">
        <v>122</v>
      </c>
      <c r="B102" s="1">
        <v>236.0</v>
      </c>
      <c r="C102" s="1">
        <v>133.0</v>
      </c>
      <c r="D102" s="1">
        <v>271.0</v>
      </c>
      <c r="E102" s="1">
        <v>11.4</v>
      </c>
      <c r="F102" s="1" t="s">
        <v>16</v>
      </c>
    </row>
    <row r="103">
      <c r="A103" s="1" t="s">
        <v>123</v>
      </c>
      <c r="B103" s="1">
        <v>26.0</v>
      </c>
      <c r="C103" s="1">
        <v>15.0</v>
      </c>
      <c r="D103" s="1">
        <v>4.0</v>
      </c>
      <c r="E103" s="1">
        <v>0.8</v>
      </c>
      <c r="F103" s="1" t="s">
        <v>18</v>
      </c>
    </row>
    <row r="104">
      <c r="A104" s="1" t="s">
        <v>124</v>
      </c>
      <c r="B104" s="1">
        <v>8.0</v>
      </c>
      <c r="C104" s="1">
        <v>11.0</v>
      </c>
      <c r="D104" s="1">
        <v>1.0</v>
      </c>
      <c r="E104" s="1">
        <v>1.5</v>
      </c>
      <c r="F104" s="1" t="s">
        <v>18</v>
      </c>
    </row>
    <row r="105">
      <c r="A105" s="1" t="s">
        <v>125</v>
      </c>
      <c r="B105" s="1">
        <v>13.0</v>
      </c>
      <c r="C105" s="1">
        <v>4.0</v>
      </c>
      <c r="D105" s="1">
        <v>0.0</v>
      </c>
      <c r="E105" s="1">
        <v>0.3</v>
      </c>
      <c r="F105" s="1" t="s">
        <v>14</v>
      </c>
    </row>
    <row r="106">
      <c r="A106" s="1" t="s">
        <v>127</v>
      </c>
      <c r="B106" s="1">
        <v>0.0</v>
      </c>
      <c r="C106" s="1">
        <v>0.0</v>
      </c>
      <c r="D106" s="1">
        <v>0.0</v>
      </c>
      <c r="E106" s="1">
        <v>0.0</v>
      </c>
      <c r="F106" s="1" t="s">
        <v>14</v>
      </c>
    </row>
    <row r="107">
      <c r="A107" s="1" t="s">
        <v>128</v>
      </c>
      <c r="B107" s="1">
        <v>5.0</v>
      </c>
      <c r="C107" s="1">
        <v>1.0</v>
      </c>
      <c r="D107" s="1">
        <v>1.0</v>
      </c>
      <c r="E107" s="1">
        <v>0.6</v>
      </c>
      <c r="F107" s="1" t="s">
        <v>18</v>
      </c>
    </row>
    <row r="108">
      <c r="A108" s="1" t="s">
        <v>129</v>
      </c>
      <c r="B108" s="1">
        <v>149.0</v>
      </c>
      <c r="C108" s="1">
        <v>100.0</v>
      </c>
      <c r="D108" s="1">
        <v>120.0</v>
      </c>
      <c r="E108" s="1">
        <v>6.6</v>
      </c>
      <c r="F108" s="1" t="s">
        <v>16</v>
      </c>
    </row>
    <row r="109">
      <c r="A109" s="1" t="s">
        <v>130</v>
      </c>
      <c r="B109" s="1">
        <v>0.0</v>
      </c>
      <c r="C109" s="1">
        <v>0.0</v>
      </c>
      <c r="D109" s="1">
        <v>0.0</v>
      </c>
      <c r="E109" s="1">
        <v>0.0</v>
      </c>
      <c r="F109" s="1" t="s">
        <v>28</v>
      </c>
    </row>
    <row r="110">
      <c r="A110" s="1" t="s">
        <v>131</v>
      </c>
      <c r="B110" s="1">
        <v>0.0</v>
      </c>
      <c r="C110" s="1">
        <v>0.0</v>
      </c>
      <c r="D110" s="1">
        <v>0.0</v>
      </c>
      <c r="E110" s="1">
        <v>0.0</v>
      </c>
      <c r="F110" s="1" t="s">
        <v>18</v>
      </c>
    </row>
    <row r="111">
      <c r="A111" s="1" t="s">
        <v>132</v>
      </c>
      <c r="B111" s="1">
        <v>98.0</v>
      </c>
      <c r="C111" s="1">
        <v>31.0</v>
      </c>
      <c r="D111" s="1">
        <v>18.0</v>
      </c>
      <c r="E111" s="1">
        <v>2.6</v>
      </c>
      <c r="F111" s="1" t="s">
        <v>18</v>
      </c>
    </row>
    <row r="112">
      <c r="A112" s="1" t="s">
        <v>133</v>
      </c>
      <c r="B112" s="1">
        <v>238.0</v>
      </c>
      <c r="C112" s="1">
        <v>68.0</v>
      </c>
      <c r="D112" s="1">
        <v>5.0</v>
      </c>
      <c r="E112" s="1">
        <v>5.5</v>
      </c>
      <c r="F112" s="1" t="s">
        <v>23</v>
      </c>
    </row>
    <row r="113">
      <c r="A113" s="1" t="s">
        <v>134</v>
      </c>
      <c r="B113" s="1">
        <v>62.0</v>
      </c>
      <c r="C113" s="1">
        <v>50.0</v>
      </c>
      <c r="D113" s="1">
        <v>18.0</v>
      </c>
      <c r="E113" s="1">
        <v>2.3</v>
      </c>
      <c r="F113" s="1" t="s">
        <v>28</v>
      </c>
    </row>
    <row r="114">
      <c r="A114" s="1" t="s">
        <v>136</v>
      </c>
      <c r="B114" s="1">
        <v>0.0</v>
      </c>
      <c r="C114" s="1">
        <v>0.0</v>
      </c>
      <c r="D114" s="1">
        <v>0.0</v>
      </c>
      <c r="E114" s="1">
        <v>0.0</v>
      </c>
      <c r="F114" s="1" t="s">
        <v>16</v>
      </c>
    </row>
    <row r="115">
      <c r="A115" s="1" t="s">
        <v>137</v>
      </c>
      <c r="B115" s="1">
        <v>77.0</v>
      </c>
      <c r="C115" s="1">
        <v>189.0</v>
      </c>
      <c r="D115" s="1">
        <v>8.0</v>
      </c>
      <c r="E115" s="1">
        <v>4.9</v>
      </c>
      <c r="F115" s="1" t="s">
        <v>14</v>
      </c>
    </row>
    <row r="116">
      <c r="A116" s="1" t="s">
        <v>138</v>
      </c>
      <c r="B116" s="1">
        <v>31.0</v>
      </c>
      <c r="C116" s="1">
        <v>114.0</v>
      </c>
      <c r="D116" s="1">
        <v>128.0</v>
      </c>
      <c r="E116" s="1">
        <v>4.9</v>
      </c>
      <c r="F116" s="1" t="s">
        <v>16</v>
      </c>
    </row>
    <row r="117">
      <c r="A117" s="1" t="s">
        <v>139</v>
      </c>
      <c r="B117" s="1">
        <v>12.0</v>
      </c>
      <c r="C117" s="1">
        <v>6.0</v>
      </c>
      <c r="D117" s="1">
        <v>10.0</v>
      </c>
      <c r="E117" s="1">
        <v>0.5</v>
      </c>
      <c r="F117" s="1" t="s">
        <v>18</v>
      </c>
    </row>
    <row r="118">
      <c r="A118" s="1" t="s">
        <v>140</v>
      </c>
      <c r="B118" s="1">
        <v>47.0</v>
      </c>
      <c r="C118" s="1">
        <v>18.0</v>
      </c>
      <c r="D118" s="1">
        <v>5.0</v>
      </c>
      <c r="E118" s="1">
        <v>1.3</v>
      </c>
      <c r="F118" s="1" t="s">
        <v>18</v>
      </c>
    </row>
    <row r="119">
      <c r="A119" s="1" t="s">
        <v>141</v>
      </c>
      <c r="B119" s="1">
        <v>5.0</v>
      </c>
      <c r="C119" s="1">
        <v>1.0</v>
      </c>
      <c r="D119" s="1">
        <v>0.0</v>
      </c>
      <c r="E119" s="1">
        <v>0.1</v>
      </c>
      <c r="F119" s="1" t="s">
        <v>14</v>
      </c>
    </row>
    <row r="120">
      <c r="A120" s="1" t="s">
        <v>142</v>
      </c>
      <c r="B120" s="1">
        <v>376.0</v>
      </c>
      <c r="C120" s="1">
        <v>3.0</v>
      </c>
      <c r="D120" s="1">
        <v>1.0</v>
      </c>
      <c r="E120" s="1">
        <v>6.8</v>
      </c>
      <c r="F120" s="1" t="s">
        <v>18</v>
      </c>
    </row>
    <row r="121">
      <c r="A121" s="1" t="s">
        <v>143</v>
      </c>
      <c r="B121" s="1">
        <v>49.0</v>
      </c>
      <c r="C121" s="1">
        <v>0.0</v>
      </c>
      <c r="D121" s="1">
        <v>8.0</v>
      </c>
      <c r="E121" s="1">
        <v>1.0</v>
      </c>
      <c r="F121" s="1" t="s">
        <v>28</v>
      </c>
    </row>
    <row r="122">
      <c r="A122" s="1" t="s">
        <v>144</v>
      </c>
      <c r="B122" s="1">
        <v>5.0</v>
      </c>
      <c r="C122" s="1">
        <v>6.0</v>
      </c>
      <c r="D122" s="1">
        <v>0.0</v>
      </c>
      <c r="E122" s="1">
        <v>0.2</v>
      </c>
      <c r="F122" s="1" t="s">
        <v>14</v>
      </c>
    </row>
    <row r="123">
      <c r="A123" s="1" t="s">
        <v>145</v>
      </c>
      <c r="B123" s="1">
        <v>251.0</v>
      </c>
      <c r="C123" s="1">
        <v>88.0</v>
      </c>
      <c r="D123" s="1">
        <v>190.0</v>
      </c>
      <c r="E123" s="1">
        <v>9.4</v>
      </c>
      <c r="F123" s="1" t="s">
        <v>16</v>
      </c>
    </row>
    <row r="124">
      <c r="A124" s="1" t="s">
        <v>146</v>
      </c>
      <c r="B124" s="1">
        <v>203.0</v>
      </c>
      <c r="C124" s="1">
        <v>79.0</v>
      </c>
      <c r="D124" s="1">
        <v>175.0</v>
      </c>
      <c r="E124" s="1">
        <v>9.3</v>
      </c>
      <c r="F124" s="1" t="s">
        <v>28</v>
      </c>
    </row>
    <row r="125">
      <c r="A125" s="1" t="s">
        <v>147</v>
      </c>
      <c r="B125" s="1">
        <v>78.0</v>
      </c>
      <c r="C125" s="1">
        <v>118.0</v>
      </c>
      <c r="D125" s="1">
        <v>1.0</v>
      </c>
      <c r="E125" s="1">
        <v>3.5</v>
      </c>
      <c r="F125" s="1" t="s">
        <v>23</v>
      </c>
    </row>
    <row r="126">
      <c r="A126" s="1" t="s">
        <v>148</v>
      </c>
      <c r="B126" s="1">
        <v>3.0</v>
      </c>
      <c r="C126" s="1">
        <v>2.0</v>
      </c>
      <c r="D126" s="1">
        <v>1.0</v>
      </c>
      <c r="E126" s="1">
        <v>0.1</v>
      </c>
      <c r="F126" s="1" t="s">
        <v>18</v>
      </c>
    </row>
    <row r="127">
      <c r="A127" s="1" t="s">
        <v>149</v>
      </c>
      <c r="B127" s="1">
        <v>42.0</v>
      </c>
      <c r="C127" s="1">
        <v>5.0</v>
      </c>
      <c r="D127" s="1">
        <v>2.0</v>
      </c>
      <c r="E127" s="1">
        <v>9.1</v>
      </c>
      <c r="F127" s="1" t="s">
        <v>18</v>
      </c>
    </row>
    <row r="128">
      <c r="A128" s="1" t="s">
        <v>150</v>
      </c>
      <c r="B128" s="1">
        <v>188.0</v>
      </c>
      <c r="C128" s="1">
        <v>200.0</v>
      </c>
      <c r="D128" s="1">
        <v>7.0</v>
      </c>
      <c r="E128" s="1">
        <v>7.0</v>
      </c>
      <c r="F128" s="1" t="s">
        <v>28</v>
      </c>
    </row>
    <row r="129">
      <c r="A129" s="1" t="s">
        <v>151</v>
      </c>
      <c r="B129" s="1">
        <v>169.0</v>
      </c>
      <c r="C129" s="1">
        <v>71.0</v>
      </c>
      <c r="D129" s="1">
        <v>129.0</v>
      </c>
      <c r="E129" s="1">
        <v>6.7</v>
      </c>
      <c r="F129" s="1" t="s">
        <v>16</v>
      </c>
    </row>
    <row r="130">
      <c r="A130" s="1" t="s">
        <v>152</v>
      </c>
      <c r="B130" s="1">
        <v>22.0</v>
      </c>
      <c r="C130" s="1">
        <v>16.0</v>
      </c>
      <c r="D130" s="1">
        <v>1.0</v>
      </c>
      <c r="E130" s="1">
        <v>0.7</v>
      </c>
      <c r="F130" s="1" t="s">
        <v>14</v>
      </c>
    </row>
    <row r="131">
      <c r="A131" s="1" t="s">
        <v>153</v>
      </c>
      <c r="B131" s="1">
        <v>0.0</v>
      </c>
      <c r="C131" s="1">
        <v>0.0</v>
      </c>
      <c r="D131" s="1">
        <v>0.0</v>
      </c>
      <c r="E131" s="1">
        <v>0.0</v>
      </c>
      <c r="F131" s="1" t="s">
        <v>14</v>
      </c>
    </row>
    <row r="132">
      <c r="A132" s="1" t="s">
        <v>154</v>
      </c>
      <c r="B132" s="1">
        <v>306.0</v>
      </c>
      <c r="C132" s="1">
        <v>63.0</v>
      </c>
      <c r="D132" s="1">
        <v>23.0</v>
      </c>
      <c r="E132" s="1">
        <v>6.9</v>
      </c>
      <c r="F132" s="1" t="s">
        <v>28</v>
      </c>
    </row>
    <row r="133">
      <c r="A133" s="1" t="s">
        <v>155</v>
      </c>
      <c r="B133" s="1">
        <v>285.0</v>
      </c>
      <c r="C133" s="1">
        <v>104.0</v>
      </c>
      <c r="D133" s="1">
        <v>18.0</v>
      </c>
      <c r="E133" s="1">
        <v>7.2</v>
      </c>
      <c r="F133" s="1" t="s">
        <v>23</v>
      </c>
    </row>
    <row r="134">
      <c r="A134" s="1" t="s">
        <v>156</v>
      </c>
      <c r="B134" s="1">
        <v>44.0</v>
      </c>
      <c r="C134" s="1">
        <v>39.0</v>
      </c>
      <c r="D134" s="1">
        <v>1.0</v>
      </c>
      <c r="E134" s="1">
        <v>1.5</v>
      </c>
      <c r="F134" s="1" t="s">
        <v>28</v>
      </c>
    </row>
    <row r="135">
      <c r="A135" s="1" t="s">
        <v>157</v>
      </c>
      <c r="B135" s="1">
        <v>213.0</v>
      </c>
      <c r="C135" s="1">
        <v>117.0</v>
      </c>
      <c r="D135" s="1">
        <v>74.0</v>
      </c>
      <c r="E135" s="1">
        <v>7.3</v>
      </c>
      <c r="F135" s="1" t="s">
        <v>25</v>
      </c>
    </row>
    <row r="136">
      <c r="A136" s="1" t="s">
        <v>158</v>
      </c>
      <c r="B136" s="1">
        <v>163.0</v>
      </c>
      <c r="C136" s="1">
        <v>160.0</v>
      </c>
      <c r="D136" s="1">
        <v>21.0</v>
      </c>
      <c r="E136" s="1">
        <v>6.1</v>
      </c>
      <c r="F136" s="1" t="s">
        <v>25</v>
      </c>
    </row>
    <row r="137">
      <c r="A137" s="1" t="s">
        <v>159</v>
      </c>
      <c r="B137" s="1">
        <v>71.0</v>
      </c>
      <c r="C137" s="1">
        <v>186.0</v>
      </c>
      <c r="D137" s="1">
        <v>1.0</v>
      </c>
      <c r="E137" s="1">
        <v>4.6</v>
      </c>
      <c r="F137" s="1" t="s">
        <v>14</v>
      </c>
    </row>
    <row r="138">
      <c r="A138" s="1" t="s">
        <v>160</v>
      </c>
      <c r="B138" s="1">
        <v>343.0</v>
      </c>
      <c r="C138" s="1">
        <v>215.0</v>
      </c>
      <c r="D138" s="1">
        <v>56.0</v>
      </c>
      <c r="E138" s="1">
        <v>10.9</v>
      </c>
      <c r="F138" s="1" t="s">
        <v>16</v>
      </c>
    </row>
    <row r="139">
      <c r="A139" s="1" t="s">
        <v>161</v>
      </c>
      <c r="B139" s="1">
        <v>194.0</v>
      </c>
      <c r="C139" s="1">
        <v>67.0</v>
      </c>
      <c r="D139" s="1">
        <v>339.0</v>
      </c>
      <c r="E139" s="1">
        <v>11.0</v>
      </c>
      <c r="F139" s="1" t="s">
        <v>16</v>
      </c>
    </row>
    <row r="140">
      <c r="A140" s="1" t="s">
        <v>162</v>
      </c>
      <c r="B140" s="1">
        <v>1.0</v>
      </c>
      <c r="C140" s="1">
        <v>42.0</v>
      </c>
      <c r="D140" s="1">
        <v>7.0</v>
      </c>
      <c r="E140" s="1">
        <v>0.9</v>
      </c>
      <c r="F140" s="1" t="s">
        <v>14</v>
      </c>
    </row>
    <row r="141">
      <c r="A141" s="1" t="s">
        <v>180</v>
      </c>
      <c r="B141" s="1">
        <v>140.0</v>
      </c>
      <c r="C141" s="1">
        <v>16.0</v>
      </c>
      <c r="D141" s="1">
        <v>9.0</v>
      </c>
      <c r="E141" s="1">
        <v>9.8</v>
      </c>
      <c r="F141" s="1" t="s">
        <v>14</v>
      </c>
    </row>
    <row r="142">
      <c r="A142" s="1" t="s">
        <v>135</v>
      </c>
      <c r="B142" s="1">
        <v>109.0</v>
      </c>
      <c r="C142" s="1">
        <v>226.0</v>
      </c>
      <c r="D142" s="1">
        <v>18.0</v>
      </c>
      <c r="E142" s="1">
        <v>6.3</v>
      </c>
      <c r="F142" s="1" t="s">
        <v>16</v>
      </c>
    </row>
    <row r="143">
      <c r="A143" s="1" t="s">
        <v>163</v>
      </c>
      <c r="B143" s="1">
        <v>297.0</v>
      </c>
      <c r="C143" s="1">
        <v>122.0</v>
      </c>
      <c r="D143" s="1">
        <v>167.0</v>
      </c>
      <c r="E143" s="1">
        <v>10.4</v>
      </c>
      <c r="F143" s="1" t="s">
        <v>16</v>
      </c>
    </row>
    <row r="144">
      <c r="A144" s="1" t="s">
        <v>164</v>
      </c>
      <c r="B144" s="1">
        <v>247.0</v>
      </c>
      <c r="C144" s="1">
        <v>326.0</v>
      </c>
      <c r="D144" s="1">
        <v>73.0</v>
      </c>
      <c r="E144" s="1">
        <v>11.5</v>
      </c>
      <c r="F144" s="1" t="s">
        <v>14</v>
      </c>
    </row>
    <row r="145">
      <c r="A145" s="1" t="s">
        <v>165</v>
      </c>
      <c r="B145" s="1">
        <v>43.0</v>
      </c>
      <c r="C145" s="1">
        <v>2.0</v>
      </c>
      <c r="D145" s="1">
        <v>0.0</v>
      </c>
      <c r="E145" s="1">
        <v>6.8</v>
      </c>
      <c r="F145" s="1" t="s">
        <v>18</v>
      </c>
    </row>
    <row r="146">
      <c r="A146" s="1" t="s">
        <v>183</v>
      </c>
      <c r="B146" s="1">
        <v>194.0</v>
      </c>
      <c r="C146" s="1">
        <v>205.0</v>
      </c>
      <c r="D146" s="1">
        <v>32.0</v>
      </c>
      <c r="E146" s="1">
        <v>7.7</v>
      </c>
      <c r="F146" s="1" t="s">
        <v>23</v>
      </c>
    </row>
    <row r="147">
      <c r="A147" s="1" t="s">
        <v>184</v>
      </c>
      <c r="B147" s="1">
        <v>171.0</v>
      </c>
      <c r="C147" s="1">
        <v>315.0</v>
      </c>
      <c r="D147" s="1">
        <v>71.0</v>
      </c>
      <c r="E147" s="1">
        <v>10.1</v>
      </c>
      <c r="F147" s="1" t="s">
        <v>23</v>
      </c>
    </row>
    <row r="148">
      <c r="A148" s="1" t="s">
        <v>185</v>
      </c>
      <c r="B148" s="1">
        <v>120.0</v>
      </c>
      <c r="C148" s="1">
        <v>221.0</v>
      </c>
      <c r="D148" s="1">
        <v>11.0</v>
      </c>
      <c r="E148" s="1">
        <v>6.3</v>
      </c>
      <c r="F148" s="1" t="s">
        <v>23</v>
      </c>
    </row>
    <row r="149">
      <c r="A149" s="1" t="s">
        <v>166</v>
      </c>
      <c r="B149" s="1">
        <v>105.0</v>
      </c>
      <c r="C149" s="1">
        <v>18.0</v>
      </c>
      <c r="D149" s="1">
        <v>24.0</v>
      </c>
      <c r="E149" s="1">
        <v>2.6</v>
      </c>
      <c r="F149" s="1" t="s">
        <v>28</v>
      </c>
    </row>
    <row r="150">
      <c r="A150" s="1" t="s">
        <v>167</v>
      </c>
      <c r="B150" s="1">
        <v>0.0</v>
      </c>
      <c r="C150" s="1">
        <v>0.0</v>
      </c>
      <c r="D150" s="1">
        <v>0.0</v>
      </c>
      <c r="E150" s="1">
        <v>0.0</v>
      </c>
      <c r="F150" s="1" t="s">
        <v>16</v>
      </c>
    </row>
    <row r="151">
      <c r="A151" s="1" t="s">
        <v>168</v>
      </c>
      <c r="B151" s="1">
        <v>56.0</v>
      </c>
      <c r="C151" s="1">
        <v>38.0</v>
      </c>
      <c r="D151" s="1">
        <v>140.0</v>
      </c>
      <c r="E151" s="1">
        <v>4.2</v>
      </c>
      <c r="F151" s="1" t="s">
        <v>18</v>
      </c>
    </row>
    <row r="152">
      <c r="A152" s="1" t="s">
        <v>169</v>
      </c>
      <c r="B152" s="1">
        <v>0.0</v>
      </c>
      <c r="C152" s="1">
        <v>5.0</v>
      </c>
      <c r="D152" s="1">
        <v>0.0</v>
      </c>
      <c r="E152" s="1">
        <v>0.1</v>
      </c>
      <c r="F152" s="1" t="s">
        <v>14</v>
      </c>
    </row>
    <row r="153">
      <c r="A153" s="1" t="s">
        <v>170</v>
      </c>
      <c r="B153" s="1">
        <v>9.0</v>
      </c>
      <c r="C153" s="1">
        <v>1.0</v>
      </c>
      <c r="D153" s="1">
        <v>7.0</v>
      </c>
      <c r="E153" s="1">
        <v>0.3</v>
      </c>
      <c r="F153" s="1" t="s">
        <v>18</v>
      </c>
    </row>
    <row r="154">
      <c r="A154" s="1" t="s">
        <v>171</v>
      </c>
      <c r="B154" s="1">
        <v>283.0</v>
      </c>
      <c r="C154" s="1">
        <v>131.0</v>
      </c>
      <c r="D154" s="1">
        <v>127.0</v>
      </c>
      <c r="E154" s="1">
        <v>9.6</v>
      </c>
      <c r="F154" s="1" t="s">
        <v>16</v>
      </c>
    </row>
    <row r="155">
      <c r="A155" s="1" t="s">
        <v>172</v>
      </c>
      <c r="B155" s="1">
        <v>157.0</v>
      </c>
      <c r="C155" s="1">
        <v>25.0</v>
      </c>
      <c r="D155" s="1">
        <v>51.0</v>
      </c>
      <c r="E155" s="1">
        <v>4.1</v>
      </c>
      <c r="F155" s="1" t="s">
        <v>18</v>
      </c>
    </row>
    <row r="156">
      <c r="A156" s="1" t="s">
        <v>173</v>
      </c>
      <c r="B156" s="1">
        <v>25.0</v>
      </c>
      <c r="C156" s="1">
        <v>3.0</v>
      </c>
      <c r="D156" s="1">
        <v>2.0</v>
      </c>
      <c r="E156" s="1">
        <v>6.7</v>
      </c>
      <c r="F156" s="1" t="s">
        <v>18</v>
      </c>
    </row>
    <row r="157">
      <c r="A157" s="1" t="s">
        <v>174</v>
      </c>
      <c r="B157" s="1">
        <v>60.0</v>
      </c>
      <c r="C157" s="1">
        <v>12.0</v>
      </c>
      <c r="D157" s="1">
        <v>11.0</v>
      </c>
      <c r="E157" s="1">
        <v>1.5</v>
      </c>
      <c r="F157" s="1" t="s">
        <v>14</v>
      </c>
    </row>
    <row r="158">
      <c r="A158" s="1" t="s">
        <v>175</v>
      </c>
      <c r="B158" s="1">
        <v>196.0</v>
      </c>
      <c r="C158" s="1">
        <v>293.0</v>
      </c>
      <c r="D158" s="1">
        <v>116.0</v>
      </c>
      <c r="E158" s="1">
        <v>11.4</v>
      </c>
      <c r="F158" s="1" t="s">
        <v>16</v>
      </c>
    </row>
    <row r="159">
      <c r="A159" s="1" t="s">
        <v>176</v>
      </c>
      <c r="B159" s="1">
        <v>270.0</v>
      </c>
      <c r="C159" s="1">
        <v>51.0</v>
      </c>
      <c r="D159" s="1">
        <v>276.0</v>
      </c>
      <c r="E159" s="1">
        <v>10.6</v>
      </c>
      <c r="F159" s="1" t="s">
        <v>16</v>
      </c>
    </row>
    <row r="160">
      <c r="A160" s="1" t="s">
        <v>177</v>
      </c>
      <c r="B160" s="1">
        <v>56.0</v>
      </c>
      <c r="C160" s="1">
        <v>11.0</v>
      </c>
      <c r="D160" s="1">
        <v>1.0</v>
      </c>
      <c r="E160" s="1">
        <v>1.2</v>
      </c>
      <c r="F160" s="1" t="s">
        <v>28</v>
      </c>
    </row>
    <row r="161">
      <c r="A161" s="1" t="s">
        <v>178</v>
      </c>
      <c r="B161" s="1">
        <v>0.0</v>
      </c>
      <c r="C161" s="1">
        <v>0.0</v>
      </c>
      <c r="D161" s="1">
        <v>0.0</v>
      </c>
      <c r="E161" s="1">
        <v>0.0</v>
      </c>
      <c r="F161" s="1" t="s">
        <v>18</v>
      </c>
    </row>
    <row r="162">
      <c r="A162" s="1" t="s">
        <v>179</v>
      </c>
      <c r="B162" s="1">
        <v>225.0</v>
      </c>
      <c r="C162" s="1">
        <v>76.0</v>
      </c>
      <c r="D162" s="1">
        <v>81.0</v>
      </c>
      <c r="E162" s="1">
        <v>8.2</v>
      </c>
      <c r="F162" s="1" t="s">
        <v>18</v>
      </c>
    </row>
    <row r="163">
      <c r="A163" s="1" t="s">
        <v>181</v>
      </c>
      <c r="B163" s="1">
        <v>284.0</v>
      </c>
      <c r="C163" s="1">
        <v>157.0</v>
      </c>
      <c r="D163" s="1">
        <v>112.0</v>
      </c>
      <c r="E163" s="1">
        <v>10.0</v>
      </c>
      <c r="F163" s="1" t="s">
        <v>16</v>
      </c>
    </row>
    <row r="164">
      <c r="A164" s="1" t="s">
        <v>182</v>
      </c>
      <c r="B164" s="1">
        <v>16.0</v>
      </c>
      <c r="C164" s="1">
        <v>104.0</v>
      </c>
      <c r="D164" s="1">
        <v>0.0</v>
      </c>
      <c r="E164" s="1">
        <v>2.2</v>
      </c>
      <c r="F164" s="1" t="s">
        <v>14</v>
      </c>
    </row>
    <row r="165">
      <c r="A165" s="1" t="s">
        <v>186</v>
      </c>
      <c r="B165" s="1">
        <v>8.0</v>
      </c>
      <c r="C165" s="1">
        <v>13.0</v>
      </c>
      <c r="D165" s="1">
        <v>0.0</v>
      </c>
      <c r="E165" s="1">
        <v>1.7</v>
      </c>
      <c r="F165" s="1" t="s">
        <v>18</v>
      </c>
    </row>
    <row r="166">
      <c r="A166" s="1" t="s">
        <v>187</v>
      </c>
      <c r="B166" s="1">
        <v>128.0</v>
      </c>
      <c r="C166" s="1">
        <v>178.0</v>
      </c>
      <c r="D166" s="1">
        <v>7.0</v>
      </c>
      <c r="E166" s="1">
        <v>5.6</v>
      </c>
      <c r="F166" s="1" t="s">
        <v>25</v>
      </c>
    </row>
    <row r="167">
      <c r="A167" s="1" t="s">
        <v>188</v>
      </c>
      <c r="B167" s="1">
        <v>90.0</v>
      </c>
      <c r="C167" s="1">
        <v>2.0</v>
      </c>
      <c r="D167" s="1">
        <v>2.0</v>
      </c>
      <c r="E167" s="1">
        <v>4.7</v>
      </c>
      <c r="F167" s="1" t="s">
        <v>18</v>
      </c>
    </row>
    <row r="168">
      <c r="A168" s="1" t="s">
        <v>189</v>
      </c>
      <c r="B168" s="1">
        <v>152.0</v>
      </c>
      <c r="C168" s="1">
        <v>60.0</v>
      </c>
      <c r="D168" s="1">
        <v>186.0</v>
      </c>
      <c r="E168" s="1">
        <v>7.2</v>
      </c>
      <c r="F168" s="1" t="s">
        <v>16</v>
      </c>
    </row>
    <row r="169">
      <c r="A169" s="1" t="s">
        <v>190</v>
      </c>
      <c r="B169" s="1">
        <v>185.0</v>
      </c>
      <c r="C169" s="1">
        <v>100.0</v>
      </c>
      <c r="D169" s="1">
        <v>280.0</v>
      </c>
      <c r="E169" s="1">
        <v>10.2</v>
      </c>
      <c r="F169" s="1" t="s">
        <v>16</v>
      </c>
    </row>
    <row r="170">
      <c r="A170" s="1" t="s">
        <v>191</v>
      </c>
      <c r="B170" s="1">
        <v>5.0</v>
      </c>
      <c r="C170" s="1">
        <v>35.0</v>
      </c>
      <c r="D170" s="1">
        <v>16.0</v>
      </c>
      <c r="E170" s="1">
        <v>1.0</v>
      </c>
      <c r="F170" s="1" t="s">
        <v>14</v>
      </c>
    </row>
    <row r="171">
      <c r="A171" s="1" t="s">
        <v>192</v>
      </c>
      <c r="B171" s="1">
        <v>2.0</v>
      </c>
      <c r="C171" s="1">
        <v>15.0</v>
      </c>
      <c r="D171" s="1">
        <v>0.0</v>
      </c>
      <c r="E171" s="1">
        <v>0.3</v>
      </c>
      <c r="F171" s="1" t="s">
        <v>14</v>
      </c>
    </row>
    <row r="172">
      <c r="A172" s="1" t="s">
        <v>195</v>
      </c>
      <c r="B172" s="1">
        <v>99.0</v>
      </c>
      <c r="C172" s="1">
        <v>258.0</v>
      </c>
      <c r="D172" s="1">
        <v>1.0</v>
      </c>
      <c r="E172" s="1">
        <v>6.4</v>
      </c>
      <c r="F172" s="1" t="s">
        <v>14</v>
      </c>
    </row>
    <row r="173">
      <c r="A173" s="1" t="s">
        <v>126</v>
      </c>
      <c r="B173" s="1">
        <v>106.0</v>
      </c>
      <c r="C173" s="1">
        <v>27.0</v>
      </c>
      <c r="D173" s="1">
        <v>86.0</v>
      </c>
      <c r="E173" s="1">
        <v>3.9</v>
      </c>
      <c r="F173" s="1" t="s">
        <v>16</v>
      </c>
    </row>
    <row r="174">
      <c r="A174" s="1" t="s">
        <v>196</v>
      </c>
      <c r="B174" s="1">
        <v>1.0</v>
      </c>
      <c r="C174" s="1">
        <v>1.0</v>
      </c>
      <c r="D174" s="1">
        <v>4.0</v>
      </c>
      <c r="E174" s="1">
        <v>0.1</v>
      </c>
      <c r="F174" s="1" t="s">
        <v>14</v>
      </c>
    </row>
    <row r="175">
      <c r="A175" s="1" t="s">
        <v>197</v>
      </c>
      <c r="B175" s="1">
        <v>36.0</v>
      </c>
      <c r="C175" s="1">
        <v>2.0</v>
      </c>
      <c r="D175" s="1">
        <v>19.0</v>
      </c>
      <c r="E175" s="1">
        <v>1.3</v>
      </c>
      <c r="F175" s="1" t="s">
        <v>18</v>
      </c>
    </row>
    <row r="176">
      <c r="A176" s="1" t="s">
        <v>198</v>
      </c>
      <c r="B176" s="1">
        <v>36.0</v>
      </c>
      <c r="C176" s="1">
        <v>21.0</v>
      </c>
      <c r="D176" s="1">
        <v>5.0</v>
      </c>
      <c r="E176" s="1">
        <v>1.1</v>
      </c>
      <c r="F176" s="1" t="s">
        <v>28</v>
      </c>
    </row>
    <row r="177">
      <c r="A177" s="1" t="s">
        <v>199</v>
      </c>
      <c r="B177" s="1">
        <v>197.0</v>
      </c>
      <c r="C177" s="1">
        <v>156.0</v>
      </c>
      <c r="D177" s="1">
        <v>7.0</v>
      </c>
      <c r="E177" s="1">
        <v>6.4</v>
      </c>
      <c r="F177" s="1" t="s">
        <v>23</v>
      </c>
    </row>
    <row r="178">
      <c r="A178" s="1" t="s">
        <v>200</v>
      </c>
      <c r="B178" s="1">
        <v>51.0</v>
      </c>
      <c r="C178" s="1">
        <v>3.0</v>
      </c>
      <c r="D178" s="1">
        <v>20.0</v>
      </c>
      <c r="E178" s="1">
        <v>1.3</v>
      </c>
      <c r="F178" s="1" t="s">
        <v>18</v>
      </c>
    </row>
    <row r="179">
      <c r="A179" s="1" t="s">
        <v>201</v>
      </c>
      <c r="B179" s="1">
        <v>51.0</v>
      </c>
      <c r="C179" s="1">
        <v>22.0</v>
      </c>
      <c r="D179" s="1">
        <v>7.0</v>
      </c>
      <c r="E179" s="1">
        <v>1.4</v>
      </c>
      <c r="F179" s="1" t="s">
        <v>14</v>
      </c>
    </row>
    <row r="180">
      <c r="A180" s="1" t="s">
        <v>202</v>
      </c>
      <c r="B180" s="1">
        <v>19.0</v>
      </c>
      <c r="C180" s="1">
        <v>71.0</v>
      </c>
      <c r="D180" s="1">
        <v>32.0</v>
      </c>
      <c r="E180" s="1">
        <v>2.2</v>
      </c>
      <c r="F180" s="1" t="s">
        <v>14</v>
      </c>
    </row>
    <row r="181">
      <c r="A181" s="1" t="s">
        <v>203</v>
      </c>
      <c r="B181" s="1">
        <v>6.0</v>
      </c>
      <c r="C181" s="1">
        <v>41.0</v>
      </c>
      <c r="D181" s="1">
        <v>9.0</v>
      </c>
      <c r="E181" s="1">
        <v>1.0</v>
      </c>
      <c r="F181" s="1" t="s">
        <v>28</v>
      </c>
    </row>
    <row r="182">
      <c r="A182" s="1" t="s">
        <v>204</v>
      </c>
      <c r="B182" s="1">
        <v>45.0</v>
      </c>
      <c r="C182" s="1">
        <v>9.0</v>
      </c>
      <c r="D182" s="1">
        <v>0.0</v>
      </c>
      <c r="E182" s="1">
        <v>8.3</v>
      </c>
      <c r="F182" s="1" t="s">
        <v>18</v>
      </c>
    </row>
    <row r="183">
      <c r="A183" s="1" t="s">
        <v>205</v>
      </c>
      <c r="B183" s="1">
        <v>206.0</v>
      </c>
      <c r="C183" s="1">
        <v>237.0</v>
      </c>
      <c r="D183" s="1">
        <v>45.0</v>
      </c>
      <c r="E183" s="1">
        <v>8.9</v>
      </c>
      <c r="F183" s="1" t="s">
        <v>16</v>
      </c>
    </row>
    <row r="184">
      <c r="A184" s="1" t="s">
        <v>206</v>
      </c>
      <c r="B184" s="1">
        <v>16.0</v>
      </c>
      <c r="C184" s="1">
        <v>135.0</v>
      </c>
      <c r="D184" s="1">
        <v>5.0</v>
      </c>
      <c r="E184" s="1">
        <v>2.8</v>
      </c>
      <c r="F184" s="1" t="s">
        <v>14</v>
      </c>
    </row>
    <row r="185">
      <c r="A185" s="1" t="s">
        <v>207</v>
      </c>
      <c r="B185" s="1">
        <v>219.0</v>
      </c>
      <c r="C185" s="1">
        <v>126.0</v>
      </c>
      <c r="D185" s="1">
        <v>195.0</v>
      </c>
      <c r="E185" s="1">
        <v>10.4</v>
      </c>
      <c r="F185" s="1" t="s">
        <v>16</v>
      </c>
    </row>
    <row r="186">
      <c r="A186" s="1" t="s">
        <v>194</v>
      </c>
      <c r="B186" s="1">
        <v>36.0</v>
      </c>
      <c r="C186" s="1">
        <v>6.0</v>
      </c>
      <c r="D186" s="1">
        <v>1.0</v>
      </c>
      <c r="E186" s="1">
        <v>5.7</v>
      </c>
      <c r="F186" s="1" t="s">
        <v>18</v>
      </c>
    </row>
    <row r="187">
      <c r="A187" s="1" t="s">
        <v>209</v>
      </c>
      <c r="B187" s="1">
        <v>249.0</v>
      </c>
      <c r="C187" s="1">
        <v>158.0</v>
      </c>
      <c r="D187" s="1">
        <v>84.0</v>
      </c>
      <c r="E187" s="1">
        <v>8.7</v>
      </c>
      <c r="F187" s="1" t="s">
        <v>23</v>
      </c>
    </row>
    <row r="188">
      <c r="A188" s="1" t="s">
        <v>208</v>
      </c>
      <c r="B188" s="1">
        <v>115.0</v>
      </c>
      <c r="C188" s="1">
        <v>35.0</v>
      </c>
      <c r="D188" s="1">
        <v>220.0</v>
      </c>
      <c r="E188" s="1">
        <v>6.6</v>
      </c>
      <c r="F188" s="1" t="s">
        <v>25</v>
      </c>
    </row>
    <row r="189">
      <c r="A189" s="1" t="s">
        <v>210</v>
      </c>
      <c r="B189" s="1">
        <v>25.0</v>
      </c>
      <c r="C189" s="1">
        <v>101.0</v>
      </c>
      <c r="D189" s="1">
        <v>8.0</v>
      </c>
      <c r="E189" s="1">
        <v>2.4</v>
      </c>
      <c r="F189" s="1" t="s">
        <v>14</v>
      </c>
    </row>
    <row r="190">
      <c r="A190" s="1" t="s">
        <v>211</v>
      </c>
      <c r="B190" s="1">
        <v>21.0</v>
      </c>
      <c r="C190" s="1">
        <v>18.0</v>
      </c>
      <c r="D190" s="1">
        <v>11.0</v>
      </c>
      <c r="E190" s="1">
        <v>0.9</v>
      </c>
      <c r="F190" s="1" t="s">
        <v>28</v>
      </c>
    </row>
    <row r="191">
      <c r="A191" s="1" t="s">
        <v>212</v>
      </c>
      <c r="B191" s="1">
        <v>333.0</v>
      </c>
      <c r="C191" s="1">
        <v>100.0</v>
      </c>
      <c r="D191" s="1">
        <v>3.0</v>
      </c>
      <c r="E191" s="1">
        <v>7.7</v>
      </c>
      <c r="F191" s="1" t="s">
        <v>25</v>
      </c>
    </row>
    <row r="192">
      <c r="A192" s="1" t="s">
        <v>213</v>
      </c>
      <c r="B192" s="1">
        <v>111.0</v>
      </c>
      <c r="C192" s="1">
        <v>2.0</v>
      </c>
      <c r="D192" s="1">
        <v>1.0</v>
      </c>
      <c r="E192" s="1">
        <v>2.0</v>
      </c>
      <c r="F192" s="1" t="s">
        <v>14</v>
      </c>
    </row>
    <row r="193">
      <c r="A193" s="1" t="s">
        <v>214</v>
      </c>
      <c r="B193" s="1">
        <v>6.0</v>
      </c>
      <c r="C193" s="1">
        <v>0.0</v>
      </c>
      <c r="D193" s="1">
        <v>0.0</v>
      </c>
      <c r="E193" s="1">
        <v>0.1</v>
      </c>
      <c r="F193" s="1" t="s">
        <v>14</v>
      </c>
    </row>
    <row r="194">
      <c r="A194" s="1" t="s">
        <v>215</v>
      </c>
      <c r="B194" s="1">
        <v>32.0</v>
      </c>
      <c r="C194" s="1">
        <v>19.0</v>
      </c>
      <c r="D194" s="1">
        <v>4.0</v>
      </c>
      <c r="E194" s="1">
        <v>2.5</v>
      </c>
      <c r="F194" s="1" t="s">
        <v>18</v>
      </c>
    </row>
    <row r="195">
      <c r="A195" s="1" t="s">
        <v>216</v>
      </c>
      <c r="B195" s="1">
        <v>64.0</v>
      </c>
      <c r="C195" s="1">
        <v>18.0</v>
      </c>
      <c r="D195" s="1">
        <v>4.0</v>
      </c>
      <c r="E195" s="1">
        <v>4.7</v>
      </c>
      <c r="F195" s="1" t="s">
        <v>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</cols>
  <sheetData>
    <row r="1"/>
    <row r="2"/>
    <row r="3"/>
    <row r="4"/>
    <row r="5"/>
    <row r="6"/>
    <row r="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8" t="s">
        <v>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136</v>
      </c>
      <c r="B2" s="9">
        <v>0.0</v>
      </c>
      <c r="C2" s="9">
        <v>0.0</v>
      </c>
      <c r="D2" s="9">
        <v>0.0</v>
      </c>
      <c r="E2" s="9">
        <v>0.0</v>
      </c>
      <c r="F2" s="7" t="s">
        <v>16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167</v>
      </c>
      <c r="B3" s="9">
        <v>0.0</v>
      </c>
      <c r="C3" s="9">
        <v>0.0</v>
      </c>
      <c r="D3" s="9">
        <v>0.0</v>
      </c>
      <c r="E3" s="9">
        <v>0.0</v>
      </c>
      <c r="F3" s="7" t="s">
        <v>16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30</v>
      </c>
      <c r="B4" s="9">
        <v>21.0</v>
      </c>
      <c r="C4" s="9">
        <v>46.0</v>
      </c>
      <c r="D4" s="9">
        <v>5.0</v>
      </c>
      <c r="E4" s="9">
        <v>1.3</v>
      </c>
      <c r="F4" s="7" t="s">
        <v>16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26</v>
      </c>
      <c r="B5" s="9">
        <v>21.0</v>
      </c>
      <c r="C5" s="9">
        <v>179.0</v>
      </c>
      <c r="D5" s="9">
        <v>11.0</v>
      </c>
      <c r="E5" s="9">
        <v>3.8</v>
      </c>
      <c r="F5" s="7" t="s">
        <v>16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126</v>
      </c>
      <c r="B6" s="9">
        <v>106.0</v>
      </c>
      <c r="C6" s="9">
        <v>27.0</v>
      </c>
      <c r="D6" s="9">
        <v>86.0</v>
      </c>
      <c r="E6" s="9">
        <v>3.9</v>
      </c>
      <c r="F6" s="7" t="s">
        <v>16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42</v>
      </c>
      <c r="B7" s="9">
        <v>76.0</v>
      </c>
      <c r="C7" s="9">
        <v>173.0</v>
      </c>
      <c r="D7" s="9">
        <v>8.0</v>
      </c>
      <c r="E7" s="9">
        <v>4.6</v>
      </c>
      <c r="F7" s="7" t="s">
        <v>16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15</v>
      </c>
      <c r="B8" s="9">
        <v>89.0</v>
      </c>
      <c r="C8" s="9">
        <v>132.0</v>
      </c>
      <c r="D8" s="9">
        <v>54.0</v>
      </c>
      <c r="E8" s="9">
        <v>4.9</v>
      </c>
      <c r="F8" s="7" t="s">
        <v>16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138</v>
      </c>
      <c r="B9" s="9">
        <v>31.0</v>
      </c>
      <c r="C9" s="9">
        <v>114.0</v>
      </c>
      <c r="D9" s="9">
        <v>128.0</v>
      </c>
      <c r="E9" s="9">
        <v>4.9</v>
      </c>
      <c r="F9" s="7" t="s">
        <v>16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87</v>
      </c>
      <c r="B10" s="9">
        <v>52.0</v>
      </c>
      <c r="C10" s="9">
        <v>100.0</v>
      </c>
      <c r="D10" s="9">
        <v>149.0</v>
      </c>
      <c r="E10" s="9">
        <v>5.4</v>
      </c>
      <c r="F10" s="7" t="s">
        <v>16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135</v>
      </c>
      <c r="B11" s="9">
        <v>109.0</v>
      </c>
      <c r="C11" s="9">
        <v>226.0</v>
      </c>
      <c r="D11" s="9">
        <v>18.0</v>
      </c>
      <c r="E11" s="9">
        <v>6.3</v>
      </c>
      <c r="F11" s="7" t="s">
        <v>16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106</v>
      </c>
      <c r="B12" s="9">
        <v>85.0</v>
      </c>
      <c r="C12" s="9">
        <v>42.0</v>
      </c>
      <c r="D12" s="9">
        <v>237.0</v>
      </c>
      <c r="E12" s="9">
        <v>6.5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99</v>
      </c>
      <c r="B13" s="9">
        <v>233.0</v>
      </c>
      <c r="C13" s="9">
        <v>61.0</v>
      </c>
      <c r="D13" s="9">
        <v>78.0</v>
      </c>
      <c r="E13" s="9">
        <v>6.6</v>
      </c>
      <c r="F13" s="7" t="s">
        <v>16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129</v>
      </c>
      <c r="B14" s="9">
        <v>149.0</v>
      </c>
      <c r="C14" s="9">
        <v>100.0</v>
      </c>
      <c r="D14" s="9">
        <v>120.0</v>
      </c>
      <c r="E14" s="9">
        <v>6.6</v>
      </c>
      <c r="F14" s="7" t="s">
        <v>16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151</v>
      </c>
      <c r="B15" s="9">
        <v>169.0</v>
      </c>
      <c r="C15" s="9">
        <v>71.0</v>
      </c>
      <c r="D15" s="9">
        <v>129.0</v>
      </c>
      <c r="E15" s="9">
        <v>6.7</v>
      </c>
      <c r="F15" s="7" t="s">
        <v>16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189</v>
      </c>
      <c r="B16" s="9">
        <v>152.0</v>
      </c>
      <c r="C16" s="9">
        <v>60.0</v>
      </c>
      <c r="D16" s="9">
        <v>186.0</v>
      </c>
      <c r="E16" s="9">
        <v>7.2</v>
      </c>
      <c r="F16" s="7" t="s">
        <v>16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65</v>
      </c>
      <c r="B17" s="9">
        <v>192.0</v>
      </c>
      <c r="C17" s="9">
        <v>154.0</v>
      </c>
      <c r="D17" s="9">
        <v>113.0</v>
      </c>
      <c r="E17" s="9">
        <v>8.2</v>
      </c>
      <c r="F17" s="7" t="s">
        <v>16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90</v>
      </c>
      <c r="B18" s="9">
        <v>133.0</v>
      </c>
      <c r="C18" s="9">
        <v>112.0</v>
      </c>
      <c r="D18" s="9">
        <v>218.0</v>
      </c>
      <c r="E18" s="9">
        <v>8.3</v>
      </c>
      <c r="F18" s="7" t="s">
        <v>16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205</v>
      </c>
      <c r="B19" s="9">
        <v>206.0</v>
      </c>
      <c r="C19" s="9">
        <v>237.0</v>
      </c>
      <c r="D19" s="9">
        <v>45.0</v>
      </c>
      <c r="E19" s="9">
        <v>8.9</v>
      </c>
      <c r="F19" s="7" t="s">
        <v>16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145</v>
      </c>
      <c r="B20" s="9">
        <v>251.0</v>
      </c>
      <c r="C20" s="9">
        <v>88.0</v>
      </c>
      <c r="D20" s="9">
        <v>190.0</v>
      </c>
      <c r="E20" s="9">
        <v>9.4</v>
      </c>
      <c r="F20" s="7" t="s">
        <v>16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">
        <v>78</v>
      </c>
      <c r="B21" s="9">
        <v>224.0</v>
      </c>
      <c r="C21" s="9">
        <v>194.0</v>
      </c>
      <c r="D21" s="9">
        <v>59.0</v>
      </c>
      <c r="E21" s="9">
        <v>9.5</v>
      </c>
      <c r="F21" s="7" t="s">
        <v>16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">
        <v>171</v>
      </c>
      <c r="B22" s="9">
        <v>283.0</v>
      </c>
      <c r="C22" s="9">
        <v>131.0</v>
      </c>
      <c r="D22" s="9">
        <v>127.0</v>
      </c>
      <c r="E22" s="9">
        <v>9.6</v>
      </c>
      <c r="F22" s="7" t="s">
        <v>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 t="s">
        <v>29</v>
      </c>
      <c r="B23" s="9">
        <v>279.0</v>
      </c>
      <c r="C23" s="9">
        <v>75.0</v>
      </c>
      <c r="D23" s="9">
        <v>191.0</v>
      </c>
      <c r="E23" s="9">
        <v>9.7</v>
      </c>
      <c r="F23" s="7" t="s">
        <v>16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 t="s">
        <v>81</v>
      </c>
      <c r="B24" s="9">
        <v>263.0</v>
      </c>
      <c r="C24" s="9">
        <v>133.0</v>
      </c>
      <c r="D24" s="9">
        <v>97.0</v>
      </c>
      <c r="E24" s="9">
        <v>10.0</v>
      </c>
      <c r="F24" s="7" t="s">
        <v>16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 t="s">
        <v>181</v>
      </c>
      <c r="B25" s="9">
        <v>284.0</v>
      </c>
      <c r="C25" s="9">
        <v>157.0</v>
      </c>
      <c r="D25" s="9">
        <v>112.0</v>
      </c>
      <c r="E25" s="9">
        <v>10.0</v>
      </c>
      <c r="F25" s="7" t="s">
        <v>16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 t="s">
        <v>63</v>
      </c>
      <c r="B26" s="9">
        <v>230.0</v>
      </c>
      <c r="C26" s="9">
        <v>87.0</v>
      </c>
      <c r="D26" s="9">
        <v>254.0</v>
      </c>
      <c r="E26" s="9">
        <v>10.2</v>
      </c>
      <c r="F26" s="7" t="s">
        <v>16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">
        <v>190</v>
      </c>
      <c r="B27" s="9">
        <v>185.0</v>
      </c>
      <c r="C27" s="9">
        <v>100.0</v>
      </c>
      <c r="D27" s="9">
        <v>280.0</v>
      </c>
      <c r="E27" s="9">
        <v>10.2</v>
      </c>
      <c r="F27" s="7" t="s">
        <v>16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 t="s">
        <v>46</v>
      </c>
      <c r="B28" s="9">
        <v>231.0</v>
      </c>
      <c r="C28" s="9">
        <v>252.0</v>
      </c>
      <c r="D28" s="9">
        <v>94.0</v>
      </c>
      <c r="E28" s="9">
        <v>10.3</v>
      </c>
      <c r="F28" s="7" t="s">
        <v>16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 t="s">
        <v>69</v>
      </c>
      <c r="B29" s="9">
        <v>224.0</v>
      </c>
      <c r="C29" s="9">
        <v>81.0</v>
      </c>
      <c r="D29" s="9">
        <v>278.0</v>
      </c>
      <c r="E29" s="9">
        <v>10.4</v>
      </c>
      <c r="F29" s="7" t="s">
        <v>16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 t="s">
        <v>163</v>
      </c>
      <c r="B30" s="9">
        <v>297.0</v>
      </c>
      <c r="C30" s="9">
        <v>122.0</v>
      </c>
      <c r="D30" s="9">
        <v>167.0</v>
      </c>
      <c r="E30" s="9">
        <v>10.4</v>
      </c>
      <c r="F30" s="7" t="s">
        <v>16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 t="s">
        <v>207</v>
      </c>
      <c r="B31" s="9">
        <v>219.0</v>
      </c>
      <c r="C31" s="9">
        <v>126.0</v>
      </c>
      <c r="D31" s="9">
        <v>195.0</v>
      </c>
      <c r="E31" s="9">
        <v>10.4</v>
      </c>
      <c r="F31" s="7" t="s">
        <v>16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 t="s">
        <v>37</v>
      </c>
      <c r="B32" s="9">
        <v>295.0</v>
      </c>
      <c r="C32" s="9">
        <v>84.0</v>
      </c>
      <c r="D32" s="9">
        <v>212.0</v>
      </c>
      <c r="E32" s="9">
        <v>10.5</v>
      </c>
      <c r="F32" s="7" t="s">
        <v>16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 t="s">
        <v>116</v>
      </c>
      <c r="B33" s="9">
        <v>281.0</v>
      </c>
      <c r="C33" s="9">
        <v>216.0</v>
      </c>
      <c r="D33" s="9">
        <v>62.0</v>
      </c>
      <c r="E33" s="9">
        <v>10.5</v>
      </c>
      <c r="F33" s="7" t="s">
        <v>16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 t="s">
        <v>176</v>
      </c>
      <c r="B34" s="9">
        <v>270.0</v>
      </c>
      <c r="C34" s="9">
        <v>51.0</v>
      </c>
      <c r="D34" s="9">
        <v>276.0</v>
      </c>
      <c r="E34" s="9">
        <v>10.6</v>
      </c>
      <c r="F34" s="7" t="s">
        <v>16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 t="s">
        <v>160</v>
      </c>
      <c r="B35" s="9">
        <v>343.0</v>
      </c>
      <c r="C35" s="9">
        <v>215.0</v>
      </c>
      <c r="D35" s="9">
        <v>56.0</v>
      </c>
      <c r="E35" s="9">
        <v>10.9</v>
      </c>
      <c r="F35" s="7" t="s">
        <v>16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 t="s">
        <v>161</v>
      </c>
      <c r="B36" s="9">
        <v>194.0</v>
      </c>
      <c r="C36" s="9">
        <v>67.0</v>
      </c>
      <c r="D36" s="9">
        <v>339.0</v>
      </c>
      <c r="E36" s="9">
        <v>11.0</v>
      </c>
      <c r="F36" s="7" t="s">
        <v>16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 t="s">
        <v>88</v>
      </c>
      <c r="B37" s="9">
        <v>346.0</v>
      </c>
      <c r="C37" s="9">
        <v>117.0</v>
      </c>
      <c r="D37" s="9">
        <v>175.0</v>
      </c>
      <c r="E37" s="9">
        <v>11.3</v>
      </c>
      <c r="F37" s="7" t="s">
        <v>16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 t="s">
        <v>98</v>
      </c>
      <c r="B38" s="9">
        <v>234.0</v>
      </c>
      <c r="C38" s="9">
        <v>215.0</v>
      </c>
      <c r="D38" s="9">
        <v>185.0</v>
      </c>
      <c r="E38" s="9">
        <v>11.3</v>
      </c>
      <c r="F38" s="7" t="s">
        <v>16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 t="s">
        <v>104</v>
      </c>
      <c r="B39" s="9">
        <v>313.0</v>
      </c>
      <c r="C39" s="9">
        <v>118.0</v>
      </c>
      <c r="D39" s="9">
        <v>165.0</v>
      </c>
      <c r="E39" s="9">
        <v>11.4</v>
      </c>
      <c r="F39" s="7" t="s">
        <v>16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 t="s">
        <v>122</v>
      </c>
      <c r="B40" s="9">
        <v>236.0</v>
      </c>
      <c r="C40" s="9">
        <v>133.0</v>
      </c>
      <c r="D40" s="9">
        <v>271.0</v>
      </c>
      <c r="E40" s="9">
        <v>11.4</v>
      </c>
      <c r="F40" s="7" t="s">
        <v>16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 t="s">
        <v>175</v>
      </c>
      <c r="B41" s="9">
        <v>196.0</v>
      </c>
      <c r="C41" s="9">
        <v>293.0</v>
      </c>
      <c r="D41" s="9">
        <v>116.0</v>
      </c>
      <c r="E41" s="9">
        <v>11.4</v>
      </c>
      <c r="F41" s="7" t="s">
        <v>16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 t="s">
        <v>66</v>
      </c>
      <c r="B42" s="9">
        <v>361.0</v>
      </c>
      <c r="C42" s="9">
        <v>170.0</v>
      </c>
      <c r="D42" s="9">
        <v>134.0</v>
      </c>
      <c r="E42" s="9">
        <v>11.8</v>
      </c>
      <c r="F42" s="7" t="s">
        <v>16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 t="s">
        <v>82</v>
      </c>
      <c r="B43" s="9">
        <v>127.0</v>
      </c>
      <c r="C43" s="9">
        <v>151.0</v>
      </c>
      <c r="D43" s="9">
        <v>370.0</v>
      </c>
      <c r="E43" s="9">
        <v>11.8</v>
      </c>
      <c r="F43" s="7" t="s">
        <v>16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 t="s">
        <v>20</v>
      </c>
      <c r="B44" s="9">
        <v>245.0</v>
      </c>
      <c r="C44" s="9">
        <v>138.0</v>
      </c>
      <c r="D44" s="9">
        <v>312.0</v>
      </c>
      <c r="E44" s="9">
        <v>12.4</v>
      </c>
      <c r="F44" s="7" t="s">
        <v>16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 t="s">
        <v>121</v>
      </c>
      <c r="B45" s="9">
        <v>343.0</v>
      </c>
      <c r="C45" s="9">
        <v>244.0</v>
      </c>
      <c r="D45" s="9">
        <v>56.0</v>
      </c>
      <c r="E45" s="9">
        <v>12.9</v>
      </c>
      <c r="F45" s="7" t="s">
        <v>16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 t="s">
        <v>36</v>
      </c>
      <c r="B46" s="9">
        <v>142.0</v>
      </c>
      <c r="C46" s="9">
        <v>373.0</v>
      </c>
      <c r="D46" s="9">
        <v>42.0</v>
      </c>
      <c r="E46" s="9">
        <v>14.4</v>
      </c>
      <c r="F46" s="7" t="s">
        <v>16</v>
      </c>
    </row>
    <row r="47"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4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