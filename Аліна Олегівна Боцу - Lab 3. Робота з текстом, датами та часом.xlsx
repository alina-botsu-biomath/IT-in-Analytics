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.52" sheetId="1" r:id="rId5"/>
    <sheet state="visible" name="3.54" sheetId="2" r:id="rId6"/>
    <sheet state="visible" name="3.60" sheetId="3" r:id="rId7"/>
    <sheet state="visible" name="3.62" sheetId="4" r:id="rId8"/>
    <sheet state="visible" name="3.74" sheetId="5" r:id="rId9"/>
    <sheet state="visible" name="3.97" sheetId="6" r:id="rId10"/>
    <sheet state="visible" name="1 text" sheetId="7" r:id="rId11"/>
    <sheet state="visible" name="2 text" sheetId="8" r:id="rId12"/>
    <sheet state="visible" name="3 text" sheetId="9" r:id="rId13"/>
    <sheet state="visible" name="4 text" sheetId="10" r:id="rId14"/>
    <sheet state="visible" name="Аркуш11" sheetId="11" r:id="rId15"/>
  </sheets>
  <definedNames>
    <definedName hidden="1" localSheetId="7" name="_xlnm._FilterDatabase">'2 text'!$A$1:$C$94</definedName>
  </definedNames>
  <calcPr/>
</workbook>
</file>

<file path=xl/sharedStrings.xml><?xml version="1.0" encoding="utf-8"?>
<sst xmlns="http://schemas.openxmlformats.org/spreadsheetml/2006/main" count="1066" uniqueCount="446">
  <si>
    <t>Введіть дату</t>
  </si>
  <si>
    <t xml:space="preserve">Сьогоднішня дата </t>
  </si>
  <si>
    <t>Дата сьогодення:</t>
  </si>
  <si>
    <t>Дата кінця</t>
  </si>
  <si>
    <t>Мій вік</t>
  </si>
  <si>
    <t>Число цієї дати:</t>
  </si>
  <si>
    <t>Кількість днів</t>
  </si>
  <si>
    <t>Місяць у цій даті:</t>
  </si>
  <si>
    <t>Кількість місяців</t>
  </si>
  <si>
    <t>Кількість днів до сьогоднішнього:</t>
  </si>
  <si>
    <t>Рік у цій даті:</t>
  </si>
  <si>
    <t>Кількість тижднів</t>
  </si>
  <si>
    <t>Шуканий номер дня:</t>
  </si>
  <si>
    <t>Дата Початку</t>
  </si>
  <si>
    <t>Кількість років</t>
  </si>
  <si>
    <t>1 час</t>
  </si>
  <si>
    <t>No уроку</t>
  </si>
  <si>
    <t>Початок уроку</t>
  </si>
  <si>
    <t>Кінець уроку</t>
  </si>
  <si>
    <t>Перерва</t>
  </si>
  <si>
    <t xml:space="preserve">2 час </t>
  </si>
  <si>
    <t>Фамилия</t>
  </si>
  <si>
    <t>Їх різниця</t>
  </si>
  <si>
    <t>Имя</t>
  </si>
  <si>
    <t>Отчество</t>
  </si>
  <si>
    <t>ПІБ</t>
  </si>
  <si>
    <t>Прізвище та ініціали</t>
  </si>
  <si>
    <t>Їх різниця в секундах</t>
  </si>
  <si>
    <t>Епифанов</t>
  </si>
  <si>
    <t>Иван</t>
  </si>
  <si>
    <t>Алексеевич</t>
  </si>
  <si>
    <t>Балочкин</t>
  </si>
  <si>
    <t>Игорь</t>
  </si>
  <si>
    <t>Вадимович</t>
  </si>
  <si>
    <t>Кувшинов</t>
  </si>
  <si>
    <t>Виктор</t>
  </si>
  <si>
    <t>Евгеньевич</t>
  </si>
  <si>
    <t>Бобошко</t>
  </si>
  <si>
    <t>Максим</t>
  </si>
  <si>
    <t>Михайлович</t>
  </si>
  <si>
    <t>Павлюкова</t>
  </si>
  <si>
    <t>Елизавета</t>
  </si>
  <si>
    <t>Владимировна</t>
  </si>
  <si>
    <t>Гаврилюк</t>
  </si>
  <si>
    <t>Юрий</t>
  </si>
  <si>
    <t>Валентинович</t>
  </si>
  <si>
    <t>Изотова</t>
  </si>
  <si>
    <t>Ирина</t>
  </si>
  <si>
    <t>Александровна</t>
  </si>
  <si>
    <t>Сторожев</t>
  </si>
  <si>
    <t>Олег</t>
  </si>
  <si>
    <t>Игоревич</t>
  </si>
  <si>
    <t>Спивак</t>
  </si>
  <si>
    <t>Тривалість уроку:</t>
  </si>
  <si>
    <t>Дуганов</t>
  </si>
  <si>
    <t>Костя</t>
  </si>
  <si>
    <t>Вячеславович</t>
  </si>
  <si>
    <t>Юрескул</t>
  </si>
  <si>
    <t>Дарья</t>
  </si>
  <si>
    <t>Юрьевна</t>
  </si>
  <si>
    <t>хвилин</t>
  </si>
  <si>
    <t>Телефон</t>
  </si>
  <si>
    <t>Габчак</t>
  </si>
  <si>
    <t>Телефон без зайвих символів</t>
  </si>
  <si>
    <t>Ольга</t>
  </si>
  <si>
    <t>Станкевич</t>
  </si>
  <si>
    <t>Даниил</t>
  </si>
  <si>
    <t>Дмитриевич</t>
  </si>
  <si>
    <t>Коджебаш</t>
  </si>
  <si>
    <t>Никита</t>
  </si>
  <si>
    <t>Сергеевич</t>
  </si>
  <si>
    <t>Паладий</t>
  </si>
  <si>
    <t>Владислав</t>
  </si>
  <si>
    <t>Григорьевич</t>
  </si>
  <si>
    <t>Сергатий</t>
  </si>
  <si>
    <t>Евгений</t>
  </si>
  <si>
    <t xml:space="preserve">не понимаю что ме делать с форматами и как мне их вітсавить </t>
  </si>
  <si>
    <t>Юрійович</t>
  </si>
  <si>
    <t>Влад</t>
  </si>
  <si>
    <t>+380679221389</t>
  </si>
  <si>
    <t>Дыкусар</t>
  </si>
  <si>
    <t>+380685008696</t>
  </si>
  <si>
    <t>Тучков</t>
  </si>
  <si>
    <t>Денисович</t>
  </si>
  <si>
    <t>+380668805222</t>
  </si>
  <si>
    <t>Сапега</t>
  </si>
  <si>
    <t>+380637352238</t>
  </si>
  <si>
    <t>Александрович</t>
  </si>
  <si>
    <t>Михайленко</t>
  </si>
  <si>
    <t>Дмитрий</t>
  </si>
  <si>
    <t>+380674177621</t>
  </si>
  <si>
    <t>Леончик</t>
  </si>
  <si>
    <t>Вероника</t>
  </si>
  <si>
    <t>Евгеньевна</t>
  </si>
  <si>
    <t>Бондарь</t>
  </si>
  <si>
    <t>Антон</t>
  </si>
  <si>
    <t>Викторович</t>
  </si>
  <si>
    <t>+380990181270</t>
  </si>
  <si>
    <t>Нефедов</t>
  </si>
  <si>
    <t>Микола</t>
  </si>
  <si>
    <t>Геннадійович</t>
  </si>
  <si>
    <t>+380980424742</t>
  </si>
  <si>
    <t>Егор</t>
  </si>
  <si>
    <t>Запрудский</t>
  </si>
  <si>
    <t>Витальевич</t>
  </si>
  <si>
    <t>Власенко</t>
  </si>
  <si>
    <t>Андрей</t>
  </si>
  <si>
    <t>Андреевич</t>
  </si>
  <si>
    <t>Кавалеров</t>
  </si>
  <si>
    <t>Владимир</t>
  </si>
  <si>
    <t>Владимирович</t>
  </si>
  <si>
    <t>Евдокимов</t>
  </si>
  <si>
    <t>Сергей</t>
  </si>
  <si>
    <t>Петрович</t>
  </si>
  <si>
    <t>Фернандес де Ривес</t>
  </si>
  <si>
    <t>Николай</t>
  </si>
  <si>
    <t>Степовой</t>
  </si>
  <si>
    <t>Юрьевич</t>
  </si>
  <si>
    <t>050-495-15-85</t>
  </si>
  <si>
    <t>495-15-85</t>
  </si>
  <si>
    <t>5-15-85</t>
  </si>
  <si>
    <t>Сурай</t>
  </si>
  <si>
    <t>Алексей</t>
  </si>
  <si>
    <t>Николаевич</t>
  </si>
  <si>
    <t>+380988690452</t>
  </si>
  <si>
    <t>+380666347028</t>
  </si>
  <si>
    <t>Остапчук</t>
  </si>
  <si>
    <t>Константин</t>
  </si>
  <si>
    <t>Чачко</t>
  </si>
  <si>
    <t>Натан</t>
  </si>
  <si>
    <t>Леонидович</t>
  </si>
  <si>
    <t>Хмелевский</t>
  </si>
  <si>
    <t>067-723-06-87</t>
  </si>
  <si>
    <t>Олегович</t>
  </si>
  <si>
    <t>723-06-87</t>
  </si>
  <si>
    <t>Примикирио</t>
  </si>
  <si>
    <t>Дина</t>
  </si>
  <si>
    <t>Витальевна</t>
  </si>
  <si>
    <t>Костина</t>
  </si>
  <si>
    <t>Лариса</t>
  </si>
  <si>
    <t>Павловна</t>
  </si>
  <si>
    <t>Прокоп</t>
  </si>
  <si>
    <t>Артём</t>
  </si>
  <si>
    <t>Гриб</t>
  </si>
  <si>
    <t>Сергеевна</t>
  </si>
  <si>
    <t>Чуб</t>
  </si>
  <si>
    <t>+380674861520</t>
  </si>
  <si>
    <t>Шахов</t>
  </si>
  <si>
    <t>+380681228716</t>
  </si>
  <si>
    <t>Бердникова</t>
  </si>
  <si>
    <t>+380949494201</t>
  </si>
  <si>
    <t>София</t>
  </si>
  <si>
    <t>Максименко</t>
  </si>
  <si>
    <t>Лях</t>
  </si>
  <si>
    <t>+380667375097</t>
  </si>
  <si>
    <t>0485-15-85</t>
  </si>
  <si>
    <t>Флоря</t>
  </si>
  <si>
    <t>Геннадиевич</t>
  </si>
  <si>
    <t>Гуренко</t>
  </si>
  <si>
    <t>Анастасия</t>
  </si>
  <si>
    <t>+(380)93-72-32-702</t>
  </si>
  <si>
    <t>Константиновна</t>
  </si>
  <si>
    <t>72-32-702</t>
  </si>
  <si>
    <t>-32-702</t>
  </si>
  <si>
    <t>Комыш</t>
  </si>
  <si>
    <t>Богдан</t>
  </si>
  <si>
    <t>050-561-13-05</t>
  </si>
  <si>
    <t>Хромов</t>
  </si>
  <si>
    <t>561-13-05</t>
  </si>
  <si>
    <t>1-13-05</t>
  </si>
  <si>
    <t>+380979756732</t>
  </si>
  <si>
    <t>Михальский</t>
  </si>
  <si>
    <t>Александр</t>
  </si>
  <si>
    <t>Мартын</t>
  </si>
  <si>
    <t>Екатерина</t>
  </si>
  <si>
    <t>Григорашенко</t>
  </si>
  <si>
    <t>+380674894869</t>
  </si>
  <si>
    <t>Катерина</t>
  </si>
  <si>
    <t>050-648-2-648</t>
  </si>
  <si>
    <t>Мясниченко</t>
  </si>
  <si>
    <t>Глеб</t>
  </si>
  <si>
    <t>648-2-648</t>
  </si>
  <si>
    <t>Фудор</t>
  </si>
  <si>
    <t>Станиславович</t>
  </si>
  <si>
    <t>Аврахова</t>
  </si>
  <si>
    <t>Андреевна</t>
  </si>
  <si>
    <t>Дидченко</t>
  </si>
  <si>
    <t>Геннадиевна</t>
  </si>
  <si>
    <t>Петин</t>
  </si>
  <si>
    <t>Михаил</t>
  </si>
  <si>
    <t>Горбулінський</t>
  </si>
  <si>
    <t>Дмитро</t>
  </si>
  <si>
    <t>Олексійович</t>
  </si>
  <si>
    <t>050-360-37-97</t>
  </si>
  <si>
    <t>Федосеев</t>
  </si>
  <si>
    <t>360-37-97</t>
  </si>
  <si>
    <t>0-37-97</t>
  </si>
  <si>
    <t>Тихончук</t>
  </si>
  <si>
    <t>Русланович</t>
  </si>
  <si>
    <t>Чигидина</t>
  </si>
  <si>
    <t>Марина</t>
  </si>
  <si>
    <t>Викторовна</t>
  </si>
  <si>
    <t>048-32-702</t>
  </si>
  <si>
    <t>Новикова</t>
  </si>
  <si>
    <t>Емилия</t>
  </si>
  <si>
    <t>Валерьевна</t>
  </si>
  <si>
    <t>Яворская</t>
  </si>
  <si>
    <t>Анна</t>
  </si>
  <si>
    <t>0481-13-05</t>
  </si>
  <si>
    <t>+380631228090</t>
  </si>
  <si>
    <t>Борисовна</t>
  </si>
  <si>
    <t>Герасимчук</t>
  </si>
  <si>
    <t>Татьяна</t>
  </si>
  <si>
    <t>Костинюк</t>
  </si>
  <si>
    <t>Наташа</t>
  </si>
  <si>
    <t>+380678897706</t>
  </si>
  <si>
    <t>+380976512497</t>
  </si>
  <si>
    <t>Наталья</t>
  </si>
  <si>
    <t>+380669643483</t>
  </si>
  <si>
    <t>Заганич</t>
  </si>
  <si>
    <t>8-2-0648</t>
  </si>
  <si>
    <t>Никитенко</t>
  </si>
  <si>
    <t>Артур</t>
  </si>
  <si>
    <t>Нафтулович</t>
  </si>
  <si>
    <t>+380630494590</t>
  </si>
  <si>
    <t>+380504154059</t>
  </si>
  <si>
    <t>Шмаленко</t>
  </si>
  <si>
    <t>Влада</t>
  </si>
  <si>
    <t>Радионовна</t>
  </si>
  <si>
    <t>Цветок</t>
  </si>
  <si>
    <t>0480-37-97</t>
  </si>
  <si>
    <t>Раділов</t>
  </si>
  <si>
    <t>Олексій</t>
  </si>
  <si>
    <t>Іванович</t>
  </si>
  <si>
    <t>Казарян</t>
  </si>
  <si>
    <t>Лаура</t>
  </si>
  <si>
    <t>Артуровна</t>
  </si>
  <si>
    <t>Хадри</t>
  </si>
  <si>
    <t>Дана</t>
  </si>
  <si>
    <t>Бушр</t>
  </si>
  <si>
    <t>+380501461917</t>
  </si>
  <si>
    <t>+380505075418</t>
  </si>
  <si>
    <t>+380680023504</t>
  </si>
  <si>
    <t>+380958541298</t>
  </si>
  <si>
    <t>Харченко</t>
  </si>
  <si>
    <t>Герман</t>
  </si>
  <si>
    <t>Харламов-Школяренко</t>
  </si>
  <si>
    <t>Анатольевич</t>
  </si>
  <si>
    <t>+380965001790</t>
  </si>
  <si>
    <t>Сулима</t>
  </si>
  <si>
    <t>066-755-99-02</t>
  </si>
  <si>
    <t>Македонская</t>
  </si>
  <si>
    <t>755-99-02</t>
  </si>
  <si>
    <t>5-99-02</t>
  </si>
  <si>
    <t>Котенёв</t>
  </si>
  <si>
    <t>Щур</t>
  </si>
  <si>
    <t>Жажин</t>
  </si>
  <si>
    <t>Мармалюк</t>
  </si>
  <si>
    <t>Олександр</t>
  </si>
  <si>
    <t>Валерійович</t>
  </si>
  <si>
    <t>Балабан</t>
  </si>
  <si>
    <t>Кича</t>
  </si>
  <si>
    <t>Яроцкая</t>
  </si>
  <si>
    <t>Романцова</t>
  </si>
  <si>
    <t>Арсеньев</t>
  </si>
  <si>
    <t>Миколайович</t>
  </si>
  <si>
    <t>Шиндер</t>
  </si>
  <si>
    <t>Ильич</t>
  </si>
  <si>
    <t>Хоробрых</t>
  </si>
  <si>
    <t>Нина</t>
  </si>
  <si>
    <t>Евгениевна</t>
  </si>
  <si>
    <t>Бондарчук</t>
  </si>
  <si>
    <t>Кокин</t>
  </si>
  <si>
    <t>Виталий</t>
  </si>
  <si>
    <t>Канивец</t>
  </si>
  <si>
    <t>Климко</t>
  </si>
  <si>
    <t>0485-99-02</t>
  </si>
  <si>
    <t>Исаков</t>
  </si>
  <si>
    <t>Отметка времени</t>
  </si>
  <si>
    <t>Школа</t>
  </si>
  <si>
    <t>Класс</t>
  </si>
  <si>
    <t>e-mail</t>
  </si>
  <si>
    <t>Укажите, пожалуйста, наиболее удобный способ связи с Вами</t>
  </si>
  <si>
    <t xml:space="preserve">ОСШ#17 </t>
  </si>
  <si>
    <t>oepifanova74@gmail.com</t>
  </si>
  <si>
    <t xml:space="preserve">Балочкин </t>
  </si>
  <si>
    <t>uaigor2005@gmail.com</t>
  </si>
  <si>
    <t>Viber</t>
  </si>
  <si>
    <t>elenakuvsh@rambler.ru</t>
  </si>
  <si>
    <t>pufa2307@gmail.com</t>
  </si>
  <si>
    <t>ОСШ 17</t>
  </si>
  <si>
    <t>lizapavlyukovaa@gmail.com</t>
  </si>
  <si>
    <t xml:space="preserve"> Выпаснянская общеобразовательная школа №1</t>
  </si>
  <si>
    <t>ugavriluk90@gmail.com</t>
  </si>
  <si>
    <t xml:space="preserve">Александровна </t>
  </si>
  <si>
    <t>Гимназия 5</t>
  </si>
  <si>
    <t>iraizotova443@gmail.com</t>
  </si>
  <si>
    <t>Одесский юридический лицей</t>
  </si>
  <si>
    <t>storozheva@i.ua</t>
  </si>
  <si>
    <t xml:space="preserve">Игоревич </t>
  </si>
  <si>
    <t>spivakmaks18@Gmail. com</t>
  </si>
  <si>
    <t>kost3480@gmail.com</t>
  </si>
  <si>
    <t>ВознесенскаяООШ№10</t>
  </si>
  <si>
    <t>yureskuldasha@gmail.com</t>
  </si>
  <si>
    <t>marantz2110@gmail.com</t>
  </si>
  <si>
    <t>abkandbbm@ukr.net</t>
  </si>
  <si>
    <t>vika80zagmail.com</t>
  </si>
  <si>
    <t>OCШ №17</t>
  </si>
  <si>
    <t>JustNekit32854@gmail.com</t>
  </si>
  <si>
    <t>tanyapaladiu81@gmail.com</t>
  </si>
  <si>
    <t>Виктория -П м.Кропивницький</t>
  </si>
  <si>
    <t>TSergati76@i.ua</t>
  </si>
  <si>
    <t>tanyapaladiu81@gmail. com</t>
  </si>
  <si>
    <t>Мариинская гимназия</t>
  </si>
  <si>
    <t>sashakoupchak@gmail.com</t>
  </si>
  <si>
    <t>Ришельевский лицей</t>
  </si>
  <si>
    <t>tuchkov.ivan@rl.odessa.ua</t>
  </si>
  <si>
    <t>Telegram</t>
  </si>
  <si>
    <t>niksapeg@gmail.com</t>
  </si>
  <si>
    <t>mariym1602@gmail.com</t>
  </si>
  <si>
    <t>Ришельевский Лицей</t>
  </si>
  <si>
    <t>leonchik@ukr.net</t>
  </si>
  <si>
    <t>e. vladimirovna7666@gmail. com</t>
  </si>
  <si>
    <t>Рішельєвський ліцей</t>
  </si>
  <si>
    <t>nickolay.nefed@gmail.com</t>
  </si>
  <si>
    <t>egorys2000@yandex.ru</t>
  </si>
  <si>
    <t>РЛ</t>
  </si>
  <si>
    <t>zviktor05@mail.ru</t>
  </si>
  <si>
    <t>vlasenko_andrij@rl.odessa.ua</t>
  </si>
  <si>
    <t>vdkavalerova@ukr.net</t>
  </si>
  <si>
    <t>Школа №27</t>
  </si>
  <si>
    <t>yevdokymov@ukr.net</t>
  </si>
  <si>
    <t>sa.zanoza@gmail.com</t>
  </si>
  <si>
    <t>stepovaya@gmail.com</t>
  </si>
  <si>
    <t>8 гимназия</t>
  </si>
  <si>
    <t>okeanisniko2007@ gmail.com</t>
  </si>
  <si>
    <t xml:space="preserve">Андреевич </t>
  </si>
  <si>
    <t xml:space="preserve">Ришельевский лицей </t>
  </si>
  <si>
    <t>Sofolga@yahoo.com</t>
  </si>
  <si>
    <t>УВК Хабад</t>
  </si>
  <si>
    <t>neylyn951@gmail.com</t>
  </si>
  <si>
    <t>luba_od@rambler.ru</t>
  </si>
  <si>
    <t>d.v.primikirio@gmail.com</t>
  </si>
  <si>
    <t>kostina_larisaa@icloud.com</t>
  </si>
  <si>
    <t>artem13.prokop@gmail.com</t>
  </si>
  <si>
    <t xml:space="preserve">Grib.natasha@gmail.com </t>
  </si>
  <si>
    <t>Chubalbina@onu.edu.ua</t>
  </si>
  <si>
    <t>Innven@gmail.com</t>
  </si>
  <si>
    <t>berenikova_se@ukr.net</t>
  </si>
  <si>
    <t>Nick.Maksimenko2004@gmail.com</t>
  </si>
  <si>
    <t>vladysha1000@ramler.ru</t>
  </si>
  <si>
    <t xml:space="preserve">Геннадиевич </t>
  </si>
  <si>
    <t>Измаильский политехнический лицей</t>
  </si>
  <si>
    <t>tatyana_florya@ukr.net</t>
  </si>
  <si>
    <t>snowown@ukr.net</t>
  </si>
  <si>
    <t>Хлебодарское</t>
  </si>
  <si>
    <t>yulia_greshko@ukr.net</t>
  </si>
  <si>
    <t>ii.poddub@gmail.com</t>
  </si>
  <si>
    <t xml:space="preserve">Александр </t>
  </si>
  <si>
    <t>#2</t>
  </si>
  <si>
    <t>Allie85 @ukr.net</t>
  </si>
  <si>
    <t>Гимназия №8</t>
  </si>
  <si>
    <t>biglbis@gmail.com</t>
  </si>
  <si>
    <t>Одесская Мариинская гимназия</t>
  </si>
  <si>
    <t>natgrig1331@gmail.com</t>
  </si>
  <si>
    <t xml:space="preserve">Мясниченко </t>
  </si>
  <si>
    <t>veronika.myasnychenko@gmail.com</t>
  </si>
  <si>
    <t>olya.mio7@gmail.com</t>
  </si>
  <si>
    <t>Анстренг</t>
  </si>
  <si>
    <t>Freeresident@bigmir.net</t>
  </si>
  <si>
    <t>гимназия 7</t>
  </si>
  <si>
    <t>ostrozhanka@gmail.com</t>
  </si>
  <si>
    <t>coreldiz@gmail.com</t>
  </si>
  <si>
    <t xml:space="preserve">Горбулінський </t>
  </si>
  <si>
    <t xml:space="preserve">Дмитро </t>
  </si>
  <si>
    <t xml:space="preserve">Олексійович </t>
  </si>
  <si>
    <t xml:space="preserve">Рішельєвський ліцей </t>
  </si>
  <si>
    <t>gorbulinskiy.d@gmail.com</t>
  </si>
  <si>
    <t>fedoseiev.konstantin@rl.odessa.ua</t>
  </si>
  <si>
    <t>Ришельевской Лицей</t>
  </si>
  <si>
    <t>tihonchuk777@gmail.com</t>
  </si>
  <si>
    <t xml:space="preserve">Чигидина </t>
  </si>
  <si>
    <t xml:space="preserve">Викторовна </t>
  </si>
  <si>
    <t xml:space="preserve">5 гимназия </t>
  </si>
  <si>
    <t>chigidinamari@gmail.com</t>
  </si>
  <si>
    <t xml:space="preserve">Валерьевна </t>
  </si>
  <si>
    <t>Гимназия 1</t>
  </si>
  <si>
    <t>mn4862743@gmail.com</t>
  </si>
  <si>
    <t>al.umanov@gmail.com</t>
  </si>
  <si>
    <t>Ришельевской лицей</t>
  </si>
  <si>
    <t>fhi.snab@gmail.com</t>
  </si>
  <si>
    <t xml:space="preserve">Константиновна </t>
  </si>
  <si>
    <t>ОУВК90</t>
  </si>
  <si>
    <t>Jebrik@ua.fm</t>
  </si>
  <si>
    <t xml:space="preserve">Костинюк </t>
  </si>
  <si>
    <t xml:space="preserve">Наталья </t>
  </si>
  <si>
    <t>kostazaganich209@gmail.com</t>
  </si>
  <si>
    <t xml:space="preserve">Никитенко </t>
  </si>
  <si>
    <t xml:space="preserve">Артур </t>
  </si>
  <si>
    <t>govtan@rambler.ru</t>
  </si>
  <si>
    <t>MaksimMaksimka@gmail.com</t>
  </si>
  <si>
    <t>konstantin.nm.trr@gmail.com</t>
  </si>
  <si>
    <t xml:space="preserve">Радионовна </t>
  </si>
  <si>
    <t>ООШ 31</t>
  </si>
  <si>
    <t>radionmullagaliev@gmail.com</t>
  </si>
  <si>
    <t xml:space="preserve">katerilika111@gmail.com </t>
  </si>
  <si>
    <t>mradilova1978@gmail.com</t>
  </si>
  <si>
    <t>laurakazaryan77@gmail.com</t>
  </si>
  <si>
    <t>ОООШ № 89</t>
  </si>
  <si>
    <t>dhadri2@gmail.com</t>
  </si>
  <si>
    <t xml:space="preserve">Харченко </t>
  </si>
  <si>
    <t xml:space="preserve">Герман </t>
  </si>
  <si>
    <t>German123ps4@gmail.com</t>
  </si>
  <si>
    <t xml:space="preserve"> sashakharlamov2004@gmail.com</t>
  </si>
  <si>
    <t xml:space="preserve">Сулима </t>
  </si>
  <si>
    <t>m_sulima@ukr.net</t>
  </si>
  <si>
    <t>Одесская гимназия 5</t>
  </si>
  <si>
    <t>vladamakedonska@gmail.com</t>
  </si>
  <si>
    <t>profesegor@gmail.com</t>
  </si>
  <si>
    <t>breysvera@gmail.com</t>
  </si>
  <si>
    <t>plamenuy@gmail.com</t>
  </si>
  <si>
    <t>гімназія 8</t>
  </si>
  <si>
    <t>alexastonmartin2014@gmail.com</t>
  </si>
  <si>
    <t>Одесская ООШ №46</t>
  </si>
  <si>
    <t>olga.balaban09@gmail.com</t>
  </si>
  <si>
    <t>ОНВК 49</t>
  </si>
  <si>
    <t>kosmolenka@gmail.com</t>
  </si>
  <si>
    <t>daryariya@ukr.net</t>
  </si>
  <si>
    <t>ОООШ 20</t>
  </si>
  <si>
    <t>kate.kot24@gmail.com</t>
  </si>
  <si>
    <t xml:space="preserve">Арсеньев </t>
  </si>
  <si>
    <t>Woorldofmaks@gmail.com</t>
  </si>
  <si>
    <t>rizhanka@ukr.net</t>
  </si>
  <si>
    <t>ООШ №5</t>
  </si>
  <si>
    <t>ni2002na@gmail.com</t>
  </si>
  <si>
    <t>Гимназия 2</t>
  </si>
  <si>
    <t>bondarchuck.alla@gmail.com</t>
  </si>
  <si>
    <t xml:space="preserve">Кокин </t>
  </si>
  <si>
    <t xml:space="preserve">Витальевич </t>
  </si>
  <si>
    <t>vitalik.k392@gmail.com</t>
  </si>
  <si>
    <t xml:space="preserve">Канивец </t>
  </si>
  <si>
    <t xml:space="preserve">228228228andrew@gmail.com </t>
  </si>
  <si>
    <t xml:space="preserve">Климко </t>
  </si>
  <si>
    <t xml:space="preserve">Анастасия </t>
  </si>
  <si>
    <t>Гимназия 121</t>
  </si>
  <si>
    <t>memerforever@rambler.ru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</si>
</sst>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hh:mm"/>
    <numFmt numFmtId="165" formatCode="+380-??-???-??-89"/>
    <numFmt numFmtId="166" formatCode="+380-00-000-00-00"/>
    <numFmt numFmtId="167" formatCode="000-00-00"/>
    <numFmt numFmtId="168" formatCode="+38000000000"/>
    <numFmt numFmtId="169" formatCode="dd-mm-yy"/>
    <numFmt numFmtId="170" formatCode="d-m-yyyy"/>
    <numFmt numFmtId="171" formatCode="m/d/yyyy h:mm:ss"/>
  </numFmts>
  <fonts count="9">
    <font>
      <sz val="10.0"/>
      <color rgb="FF000000"/>
      <name val="Arial"/>
      <scheme val="minor"/>
    </font>
    <font>
      <sz val="12.0"/>
      <color rgb="FF000000"/>
      <name val="&quot;Times New Roman&quot;"/>
    </font>
    <font>
      <color theme="1"/>
      <name val="Arial"/>
      <scheme val="minor"/>
    </font>
    <font>
      <sz val="9.0"/>
      <color rgb="FF000000"/>
      <name val="&quot;Google Sans Mono&quot;"/>
    </font>
    <font>
      <b/>
      <color theme="1"/>
      <name val="Arial"/>
    </font>
    <font>
      <color theme="1"/>
      <name val="Arial"/>
    </font>
    <font>
      <sz val="14.0"/>
      <color rgb="FF000000"/>
      <name val="&quot;Times New Roman&quot;"/>
    </font>
    <font>
      <color rgb="FF000000"/>
      <name val="Arial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6D9EEB"/>
        <bgColor rgb="FF6D9E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2" numFmtId="14" xfId="0" applyFont="1" applyNumberFormat="1"/>
    <xf borderId="0" fillId="0" fontId="2" numFmtId="0" xfId="0" applyFont="1"/>
    <xf borderId="0" fillId="2" fontId="3" numFmtId="0" xfId="0" applyFill="1" applyFont="1"/>
    <xf borderId="1" fillId="0" fontId="1" numFmtId="0" xfId="0" applyAlignment="1" applyBorder="1" applyFont="1">
      <alignment horizontal="right" readingOrder="0" shrinkToFit="0" wrapText="1"/>
    </xf>
    <xf borderId="0" fillId="0" fontId="2" numFmtId="19" xfId="0" applyFont="1" applyNumberFormat="1"/>
    <xf borderId="1" fillId="0" fontId="1" numFmtId="164" xfId="0" applyAlignment="1" applyBorder="1" applyFont="1" applyNumberFormat="1">
      <alignment horizontal="right" readingOrder="0" shrinkToFit="0" wrapText="1"/>
    </xf>
    <xf borderId="0" fillId="0" fontId="4" numFmtId="0" xfId="0" applyAlignment="1" applyFont="1">
      <alignment vertical="bottom"/>
    </xf>
    <xf borderId="1" fillId="0" fontId="2" numFmtId="0" xfId="0" applyAlignment="1" applyBorder="1" applyFont="1">
      <alignment horizontal="left" shrinkToFit="0" vertical="bottom" wrapText="1"/>
    </xf>
    <xf borderId="0" fillId="0" fontId="5" numFmtId="0" xfId="0" applyAlignment="1" applyFont="1">
      <alignment vertical="bottom"/>
    </xf>
    <xf borderId="1" fillId="0" fontId="2" numFmtId="164" xfId="0" applyAlignment="1" applyBorder="1" applyFont="1" applyNumberFormat="1">
      <alignment horizontal="left" shrinkToFit="0" vertical="bottom" wrapText="1"/>
    </xf>
    <xf borderId="0" fillId="0" fontId="4" numFmtId="49" xfId="0" applyAlignment="1" applyFont="1" applyNumberFormat="1">
      <alignment readingOrder="0" vertical="bottom"/>
    </xf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5" numFmtId="49" xfId="0" applyAlignment="1" applyFont="1" applyNumberFormat="1">
      <alignment horizontal="right" vertical="bottom"/>
    </xf>
    <xf borderId="0" fillId="0" fontId="2" numFmtId="167" xfId="0" applyFont="1" applyNumberFormat="1"/>
    <xf borderId="0" fillId="0" fontId="2" numFmtId="168" xfId="0" applyFont="1" applyNumberFormat="1"/>
    <xf borderId="0" fillId="0" fontId="5" numFmtId="49" xfId="0" applyAlignment="1" applyFont="1" applyNumberFormat="1">
      <alignment vertical="bottom"/>
    </xf>
    <xf borderId="0" fillId="3" fontId="2" numFmtId="0" xfId="0" applyFill="1" applyFont="1"/>
    <xf borderId="0" fillId="0" fontId="6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5" numFmtId="168" xfId="0" applyAlignment="1" applyFont="1" applyNumberFormat="1">
      <alignment vertical="bottom"/>
    </xf>
    <xf borderId="0" fillId="3" fontId="2" numFmtId="167" xfId="0" applyFont="1" applyNumberFormat="1"/>
    <xf borderId="0" fillId="3" fontId="2" numFmtId="168" xfId="0" applyFont="1" applyNumberFormat="1"/>
    <xf borderId="0" fillId="0" fontId="5" numFmtId="168" xfId="0" applyAlignment="1" applyFont="1" applyNumberFormat="1">
      <alignment horizontal="right" vertical="bottom"/>
    </xf>
    <xf borderId="0" fillId="4" fontId="2" numFmtId="0" xfId="0" applyFill="1" applyFont="1"/>
    <xf borderId="0" fillId="4" fontId="2" numFmtId="0" xfId="0" applyAlignment="1" applyFont="1">
      <alignment readingOrder="0"/>
    </xf>
    <xf borderId="0" fillId="4" fontId="2" numFmtId="167" xfId="0" applyFont="1" applyNumberFormat="1"/>
    <xf borderId="0" fillId="4" fontId="2" numFmtId="168" xfId="0" applyFont="1" applyNumberFormat="1"/>
    <xf borderId="0" fillId="0" fontId="2" numFmtId="16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2" fontId="7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171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vika80zagmail.com" TargetMode="Externa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3">
        <f>TODAY()</f>
        <v>46229</v>
      </c>
    </row>
    <row r="4">
      <c r="B4" s="1" t="s">
        <v>5</v>
      </c>
      <c r="C4" s="4">
        <f>DAY(C3)</f>
        <v>26</v>
      </c>
    </row>
    <row r="5">
      <c r="B5" s="1" t="s">
        <v>7</v>
      </c>
      <c r="C5" s="4">
        <f>MONTH(C3)</f>
        <v>7</v>
      </c>
    </row>
    <row r="6">
      <c r="B6" s="1" t="s">
        <v>10</v>
      </c>
      <c r="C6" s="4">
        <f>YEAR(C3)</f>
        <v>2026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38"/>
    <col customWidth="1" min="3" max="3" width="40.5"/>
    <col customWidth="1" min="4" max="4" width="19.88"/>
  </cols>
  <sheetData>
    <row r="3">
      <c r="A3" s="2" t="s">
        <v>3</v>
      </c>
      <c r="B3" s="3">
        <f>DATE(2023,9,17)</f>
        <v>45186</v>
      </c>
      <c r="C3" s="3">
        <f>TODAY()</f>
        <v>46229</v>
      </c>
    </row>
    <row r="4">
      <c r="A4" s="2" t="s">
        <v>13</v>
      </c>
      <c r="B4" s="3">
        <f t="shared" ref="B4:C4" si="1">DATE(2012,5,17)</f>
        <v>41046</v>
      </c>
      <c r="C4" s="3">
        <f t="shared" si="1"/>
        <v>41046</v>
      </c>
    </row>
    <row r="5">
      <c r="A5" s="2" t="s">
        <v>14</v>
      </c>
      <c r="B5" s="4">
        <f t="shared" ref="B5:C5" si="2">DATEDIF(B4,B3,"y")</f>
        <v>11</v>
      </c>
      <c r="C5" s="4">
        <f t="shared" si="2"/>
        <v>14</v>
      </c>
      <c r="D5" s="4">
        <f>DAYS(C3,C4)</f>
        <v>5183</v>
      </c>
      <c r="E5" s="4">
        <f>DATEDIF(B4,B3,"yd")</f>
        <v>123</v>
      </c>
    </row>
    <row r="6">
      <c r="A6" s="2" t="s">
        <v>8</v>
      </c>
      <c r="B6" s="4">
        <f t="shared" ref="B6:C6" si="3">DATEDIF(B4,B3, "ym")</f>
        <v>4</v>
      </c>
      <c r="C6" s="4">
        <f t="shared" si="3"/>
        <v>2</v>
      </c>
    </row>
    <row r="7">
      <c r="A7" s="2" t="s">
        <v>6</v>
      </c>
      <c r="B7" s="5">
        <f t="shared" ref="B7:C7" si="4">DATEDIF(B4,B3, "md")</f>
        <v>0</v>
      </c>
      <c r="C7" s="5">
        <f t="shared" si="4"/>
        <v>9</v>
      </c>
    </row>
    <row r="8">
      <c r="B8" s="2" t="str">
        <f t="shared" ref="B8:C8" si="5">concatenate("Різниця між датами це " ,B5, " років ",B6," місяців та ",B7," днів")</f>
        <v>Різниця між датами це 11 років 4 місяців та 0 днів</v>
      </c>
      <c r="C8" s="2" t="str">
        <f t="shared" si="5"/>
        <v>Різниця між датами це 14 років 2 місяців та 9 днів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</cols>
  <sheetData>
    <row r="1">
      <c r="A1" s="1" t="s">
        <v>2</v>
      </c>
      <c r="B1" s="3">
        <f>TODAY()</f>
        <v>46229</v>
      </c>
      <c r="C1" s="4" t="str">
        <f>TEXT(WEEKDAY(B1),"ddddd")</f>
        <v>неділя</v>
      </c>
      <c r="D1" s="3">
        <f>EDATE(B1,4)</f>
        <v>46352</v>
      </c>
    </row>
    <row r="2">
      <c r="A2" s="1" t="s">
        <v>9</v>
      </c>
      <c r="B2" s="3">
        <f>B1-5</f>
        <v>46224</v>
      </c>
    </row>
    <row r="3">
      <c r="A3" s="1" t="s">
        <v>12</v>
      </c>
      <c r="B3" s="2" t="str">
        <f>TEXT(WEEKDAY(B2),"ddddd")</f>
        <v>вівторок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2" t="s">
        <v>1</v>
      </c>
      <c r="B1" s="3">
        <f>TODAY()</f>
        <v>46229</v>
      </c>
    </row>
    <row r="2">
      <c r="A2" s="2" t="s">
        <v>4</v>
      </c>
      <c r="B2" s="3">
        <f>DATE(2004,12,23)</f>
        <v>38344</v>
      </c>
    </row>
    <row r="3">
      <c r="A3" s="2" t="s">
        <v>6</v>
      </c>
      <c r="B3" s="4">
        <f>DATEDIF($B$2,$B$1,"D")</f>
        <v>7885</v>
      </c>
    </row>
    <row r="4">
      <c r="A4" s="2" t="s">
        <v>8</v>
      </c>
      <c r="B4" s="4">
        <f>DATEDIF($B$2,$B$1,"m")</f>
        <v>259</v>
      </c>
    </row>
    <row r="5">
      <c r="A5" s="2" t="s">
        <v>11</v>
      </c>
      <c r="B5" s="5">
        <f>DATEDIF($B$2,$B$1,"M")*4</f>
        <v>1036</v>
      </c>
      <c r="C5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2" t="s">
        <v>15</v>
      </c>
      <c r="B1" s="7">
        <f>TIME(11,40,59)</f>
        <v>0.4867939815</v>
      </c>
    </row>
    <row r="2">
      <c r="A2" s="2" t="s">
        <v>20</v>
      </c>
      <c r="B2" s="7">
        <f>TIME(13,14,2)</f>
        <v>0.551412037</v>
      </c>
    </row>
    <row r="3">
      <c r="A3" s="2" t="s">
        <v>22</v>
      </c>
      <c r="B3" s="7">
        <f>B2-B1</f>
        <v>0.06461805556</v>
      </c>
    </row>
    <row r="4">
      <c r="A4" s="2" t="s">
        <v>27</v>
      </c>
      <c r="B4" s="4">
        <f>HOUR(B3)*360+MINUTE(B3)*60+SECOND(B3)</f>
        <v>2343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  <c r="D1" s="1" t="s">
        <v>19</v>
      </c>
    </row>
    <row r="2">
      <c r="A2" s="6">
        <v>1.0</v>
      </c>
      <c r="B2" s="8">
        <v>0.3541666666666667</v>
      </c>
      <c r="C2" s="8">
        <v>0.3854166666666667</v>
      </c>
      <c r="D2" s="10"/>
    </row>
    <row r="3">
      <c r="A3" s="10"/>
      <c r="B3" s="10"/>
      <c r="C3" s="10"/>
      <c r="D3" s="8">
        <v>0.010416666666666666</v>
      </c>
    </row>
    <row r="4">
      <c r="A4" s="6">
        <v>2.0</v>
      </c>
      <c r="B4" s="8">
        <v>0.3888888888888889</v>
      </c>
      <c r="C4" s="8">
        <v>0.4201388888888889</v>
      </c>
      <c r="D4" s="10"/>
    </row>
    <row r="5">
      <c r="A5" s="10"/>
      <c r="B5" s="10"/>
      <c r="C5" s="10"/>
      <c r="D5" s="8">
        <v>0.010416666666666666</v>
      </c>
    </row>
    <row r="6">
      <c r="A6" s="6">
        <v>3.0</v>
      </c>
      <c r="B6" s="8">
        <v>0.4305555555555556</v>
      </c>
      <c r="C6" s="8">
        <v>0.4618055555555556</v>
      </c>
      <c r="D6" s="10"/>
    </row>
    <row r="7">
      <c r="A7" s="10"/>
      <c r="B7" s="10"/>
      <c r="C7" s="10"/>
      <c r="D7" s="8">
        <v>0.010416666666666666</v>
      </c>
    </row>
    <row r="8">
      <c r="A8" s="6">
        <v>4.0</v>
      </c>
      <c r="B8" s="8">
        <v>0.4722222222222222</v>
      </c>
      <c r="C8" s="8">
        <v>0.5034722222222222</v>
      </c>
      <c r="D8" s="10"/>
    </row>
    <row r="9">
      <c r="A9" s="10"/>
      <c r="B9" s="10"/>
      <c r="C9" s="10"/>
      <c r="D9" s="8">
        <v>0.013888888888888888</v>
      </c>
    </row>
    <row r="10">
      <c r="A10" s="6">
        <v>5.0</v>
      </c>
      <c r="B10" s="8">
        <v>0.5173611111111112</v>
      </c>
      <c r="C10" s="8">
        <v>0.5486111111111112</v>
      </c>
      <c r="D10" s="10"/>
    </row>
    <row r="11">
      <c r="A11" s="10"/>
      <c r="B11" s="10"/>
      <c r="C11" s="10"/>
      <c r="D11" s="8">
        <v>0.006944444444444444</v>
      </c>
    </row>
    <row r="12">
      <c r="A12" s="6">
        <v>6.0</v>
      </c>
      <c r="B12" s="8">
        <v>0.5555555555555556</v>
      </c>
      <c r="C12" s="8">
        <v>0.5868055555555556</v>
      </c>
      <c r="D12" s="10"/>
    </row>
    <row r="13">
      <c r="A13" s="10"/>
      <c r="B13" s="10"/>
      <c r="C13" s="10"/>
      <c r="D13" s="8">
        <v>0.010416666666666666</v>
      </c>
    </row>
    <row r="14">
      <c r="A14" s="6">
        <v>7.0</v>
      </c>
      <c r="B14" s="8">
        <v>0.5972222222222222</v>
      </c>
      <c r="C14" s="8">
        <v>0.6284722222222222</v>
      </c>
      <c r="D14" s="10"/>
    </row>
    <row r="15">
      <c r="A15" s="10"/>
      <c r="B15" s="10"/>
      <c r="C15" s="10"/>
      <c r="D15" s="8">
        <v>0.006944444444444444</v>
      </c>
    </row>
    <row r="16">
      <c r="A16" s="6">
        <v>8.0</v>
      </c>
      <c r="B16" s="8">
        <v>0.6354166666666666</v>
      </c>
      <c r="C16" s="8">
        <v>0.6666666666666666</v>
      </c>
      <c r="D16" s="10"/>
    </row>
    <row r="17">
      <c r="A17" s="10"/>
      <c r="B17" s="10"/>
      <c r="C17" s="10"/>
      <c r="D17" s="10"/>
    </row>
    <row r="18">
      <c r="A18" s="1" t="s">
        <v>53</v>
      </c>
      <c r="B18" s="12">
        <f>C2-B2</f>
        <v>0.03125</v>
      </c>
      <c r="C18" s="2" t="s">
        <v>60</v>
      </c>
      <c r="D18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1.88"/>
    <col customWidth="1" min="6" max="6" width="19.88"/>
  </cols>
  <sheetData>
    <row r="1">
      <c r="A1" s="9" t="s">
        <v>21</v>
      </c>
      <c r="B1" s="9" t="s">
        <v>23</v>
      </c>
      <c r="C1" s="9" t="s">
        <v>24</v>
      </c>
      <c r="E1" s="2" t="s">
        <v>25</v>
      </c>
      <c r="F1" s="2" t="s">
        <v>26</v>
      </c>
    </row>
    <row r="2">
      <c r="A2" s="11" t="s">
        <v>28</v>
      </c>
      <c r="B2" s="11" t="s">
        <v>29</v>
      </c>
      <c r="C2" s="11" t="s">
        <v>30</v>
      </c>
      <c r="E2" s="4" t="str">
        <f t="shared" ref="E2:E105" si="1">A2&amp;" "&amp;B2&amp;" "&amp;C2</f>
        <v>Епифанов Иван Алексеевич</v>
      </c>
      <c r="F2" s="4" t="str">
        <f t="shared" ref="F2:F105" si="2">A2&amp;" "&amp;left(B2)&amp;"."&amp;LEFT(C2)</f>
        <v>Епифанов И.А</v>
      </c>
    </row>
    <row r="3">
      <c r="A3" s="11" t="s">
        <v>31</v>
      </c>
      <c r="B3" s="11" t="s">
        <v>32</v>
      </c>
      <c r="C3" s="11" t="s">
        <v>33</v>
      </c>
      <c r="E3" s="4" t="str">
        <f t="shared" si="1"/>
        <v>Балочкин Игорь Вадимович</v>
      </c>
      <c r="F3" s="4" t="str">
        <f t="shared" si="2"/>
        <v>Балочкин И.В</v>
      </c>
    </row>
    <row r="4">
      <c r="A4" s="11" t="s">
        <v>34</v>
      </c>
      <c r="B4" s="11" t="s">
        <v>35</v>
      </c>
      <c r="C4" s="11" t="s">
        <v>36</v>
      </c>
      <c r="E4" s="4" t="str">
        <f t="shared" si="1"/>
        <v>Кувшинов Виктор Евгеньевич</v>
      </c>
      <c r="F4" s="4" t="str">
        <f t="shared" si="2"/>
        <v>Кувшинов В.Е</v>
      </c>
    </row>
    <row r="5">
      <c r="A5" s="11" t="s">
        <v>37</v>
      </c>
      <c r="B5" s="11" t="s">
        <v>38</v>
      </c>
      <c r="C5" s="11" t="s">
        <v>39</v>
      </c>
      <c r="E5" s="4" t="str">
        <f t="shared" si="1"/>
        <v>Бобошко Максим Михайлович</v>
      </c>
      <c r="F5" s="4" t="str">
        <f t="shared" si="2"/>
        <v>Бобошко М.М</v>
      </c>
    </row>
    <row r="6">
      <c r="A6" s="11" t="s">
        <v>40</v>
      </c>
      <c r="B6" s="11" t="s">
        <v>41</v>
      </c>
      <c r="C6" s="11" t="s">
        <v>42</v>
      </c>
      <c r="E6" s="4" t="str">
        <f t="shared" si="1"/>
        <v>Павлюкова Елизавета Владимировна</v>
      </c>
      <c r="F6" s="4" t="str">
        <f t="shared" si="2"/>
        <v>Павлюкова Е.В</v>
      </c>
    </row>
    <row r="7">
      <c r="A7" s="11" t="s">
        <v>43</v>
      </c>
      <c r="B7" s="11" t="s">
        <v>44</v>
      </c>
      <c r="C7" s="11" t="s">
        <v>45</v>
      </c>
      <c r="E7" s="4" t="str">
        <f t="shared" si="1"/>
        <v>Гаврилюк Юрий Валентинович</v>
      </c>
      <c r="F7" s="4" t="str">
        <f t="shared" si="2"/>
        <v>Гаврилюк Ю.В</v>
      </c>
    </row>
    <row r="8">
      <c r="A8" s="11" t="s">
        <v>46</v>
      </c>
      <c r="B8" s="11" t="s">
        <v>47</v>
      </c>
      <c r="C8" s="11" t="s">
        <v>48</v>
      </c>
      <c r="E8" s="4" t="str">
        <f t="shared" si="1"/>
        <v>Изотова Ирина Александровна</v>
      </c>
      <c r="F8" s="4" t="str">
        <f t="shared" si="2"/>
        <v>Изотова И.А</v>
      </c>
    </row>
    <row r="9">
      <c r="A9" s="11" t="s">
        <v>49</v>
      </c>
      <c r="B9" s="11" t="s">
        <v>50</v>
      </c>
      <c r="C9" s="11" t="s">
        <v>51</v>
      </c>
      <c r="E9" s="4" t="str">
        <f t="shared" si="1"/>
        <v>Сторожев Олег Игоревич</v>
      </c>
      <c r="F9" s="4" t="str">
        <f t="shared" si="2"/>
        <v>Сторожев О.И</v>
      </c>
    </row>
    <row r="10">
      <c r="A10" s="11" t="s">
        <v>52</v>
      </c>
      <c r="B10" s="11" t="s">
        <v>38</v>
      </c>
      <c r="C10" s="11" t="s">
        <v>51</v>
      </c>
      <c r="E10" s="4" t="str">
        <f t="shared" si="1"/>
        <v>Спивак Максим Игоревич</v>
      </c>
      <c r="F10" s="4" t="str">
        <f t="shared" si="2"/>
        <v>Спивак М.И</v>
      </c>
    </row>
    <row r="11">
      <c r="A11" s="11" t="s">
        <v>52</v>
      </c>
      <c r="B11" s="11" t="s">
        <v>38</v>
      </c>
      <c r="C11" s="11" t="s">
        <v>51</v>
      </c>
      <c r="E11" s="4" t="str">
        <f t="shared" si="1"/>
        <v>Спивак Максим Игоревич</v>
      </c>
      <c r="F11" s="4" t="str">
        <f t="shared" si="2"/>
        <v>Спивак М.И</v>
      </c>
    </row>
    <row r="12">
      <c r="A12" s="11" t="s">
        <v>28</v>
      </c>
      <c r="B12" s="11" t="s">
        <v>29</v>
      </c>
      <c r="C12" s="11" t="s">
        <v>30</v>
      </c>
      <c r="E12" s="4" t="str">
        <f t="shared" si="1"/>
        <v>Епифанов Иван Алексеевич</v>
      </c>
      <c r="F12" s="4" t="str">
        <f t="shared" si="2"/>
        <v>Епифанов И.А</v>
      </c>
    </row>
    <row r="13">
      <c r="A13" s="11" t="s">
        <v>54</v>
      </c>
      <c r="B13" s="11" t="s">
        <v>55</v>
      </c>
      <c r="C13" s="11" t="s">
        <v>56</v>
      </c>
      <c r="E13" s="4" t="str">
        <f t="shared" si="1"/>
        <v>Дуганов Костя Вячеславович</v>
      </c>
      <c r="F13" s="4" t="str">
        <f t="shared" si="2"/>
        <v>Дуганов К.В</v>
      </c>
    </row>
    <row r="14">
      <c r="A14" s="11" t="s">
        <v>57</v>
      </c>
      <c r="B14" s="11" t="s">
        <v>58</v>
      </c>
      <c r="C14" s="11" t="s">
        <v>59</v>
      </c>
      <c r="E14" s="4" t="str">
        <f t="shared" si="1"/>
        <v>Юрескул Дарья Юрьевна</v>
      </c>
      <c r="F14" s="4" t="str">
        <f t="shared" si="2"/>
        <v>Юрескул Д.Ю</v>
      </c>
    </row>
    <row r="15">
      <c r="A15" s="11" t="s">
        <v>37</v>
      </c>
      <c r="B15" s="11" t="s">
        <v>38</v>
      </c>
      <c r="C15" s="11" t="s">
        <v>39</v>
      </c>
      <c r="E15" s="4" t="str">
        <f t="shared" si="1"/>
        <v>Бобошко Максим Михайлович</v>
      </c>
      <c r="F15" s="4" t="str">
        <f t="shared" si="2"/>
        <v>Бобошко М.М</v>
      </c>
    </row>
    <row r="16">
      <c r="A16" s="11" t="s">
        <v>62</v>
      </c>
      <c r="B16" s="11" t="s">
        <v>64</v>
      </c>
      <c r="C16" s="11" t="s">
        <v>48</v>
      </c>
      <c r="E16" s="4" t="str">
        <f t="shared" si="1"/>
        <v>Габчак Ольга Александровна</v>
      </c>
      <c r="F16" s="4" t="str">
        <f t="shared" si="2"/>
        <v>Габчак О.А</v>
      </c>
    </row>
    <row r="17">
      <c r="A17" s="11" t="s">
        <v>65</v>
      </c>
      <c r="B17" s="11" t="s">
        <v>66</v>
      </c>
      <c r="C17" s="11" t="s">
        <v>67</v>
      </c>
      <c r="E17" s="4" t="str">
        <f t="shared" si="1"/>
        <v>Станкевич Даниил Дмитриевич</v>
      </c>
      <c r="F17" s="4" t="str">
        <f t="shared" si="2"/>
        <v>Станкевич Д.Д</v>
      </c>
    </row>
    <row r="18">
      <c r="A18" s="11" t="s">
        <v>68</v>
      </c>
      <c r="B18" s="11" t="s">
        <v>69</v>
      </c>
      <c r="C18" s="11" t="s">
        <v>70</v>
      </c>
      <c r="E18" s="4" t="str">
        <f t="shared" si="1"/>
        <v>Коджебаш Никита Сергеевич</v>
      </c>
      <c r="F18" s="4" t="str">
        <f t="shared" si="2"/>
        <v>Коджебаш Н.С</v>
      </c>
    </row>
    <row r="19">
      <c r="A19" s="11" t="s">
        <v>71</v>
      </c>
      <c r="B19" s="11" t="s">
        <v>72</v>
      </c>
      <c r="C19" s="11" t="s">
        <v>73</v>
      </c>
      <c r="E19" s="4" t="str">
        <f t="shared" si="1"/>
        <v>Паладий Владислав Григорьевич</v>
      </c>
      <c r="F19" s="4" t="str">
        <f t="shared" si="2"/>
        <v>Паладий В.Г</v>
      </c>
    </row>
    <row r="20">
      <c r="A20" s="11" t="s">
        <v>74</v>
      </c>
      <c r="B20" s="11" t="s">
        <v>75</v>
      </c>
      <c r="C20" s="11" t="s">
        <v>77</v>
      </c>
      <c r="E20" s="4" t="str">
        <f t="shared" si="1"/>
        <v>Сергатий Евгений Юрійович</v>
      </c>
      <c r="F20" s="4" t="str">
        <f t="shared" si="2"/>
        <v>Сергатий Е.Ю</v>
      </c>
    </row>
    <row r="21">
      <c r="A21" s="11" t="s">
        <v>71</v>
      </c>
      <c r="B21" s="11" t="s">
        <v>78</v>
      </c>
      <c r="C21" s="11" t="s">
        <v>73</v>
      </c>
      <c r="E21" s="4" t="str">
        <f t="shared" si="1"/>
        <v>Паладий Влад Григорьевич</v>
      </c>
      <c r="F21" s="4" t="str">
        <f t="shared" si="2"/>
        <v>Паладий В.Г</v>
      </c>
    </row>
    <row r="22">
      <c r="A22" s="11" t="s">
        <v>80</v>
      </c>
      <c r="B22" s="11" t="s">
        <v>38</v>
      </c>
      <c r="C22" s="11" t="s">
        <v>51</v>
      </c>
      <c r="E22" s="4" t="str">
        <f t="shared" si="1"/>
        <v>Дыкусар Максим Игоревич</v>
      </c>
      <c r="F22" s="4" t="str">
        <f t="shared" si="2"/>
        <v>Дыкусар М.И</v>
      </c>
    </row>
    <row r="23">
      <c r="A23" s="11" t="s">
        <v>82</v>
      </c>
      <c r="B23" s="11" t="s">
        <v>29</v>
      </c>
      <c r="C23" s="11" t="s">
        <v>83</v>
      </c>
      <c r="E23" s="4" t="str">
        <f t="shared" si="1"/>
        <v>Тучков Иван Денисович</v>
      </c>
      <c r="F23" s="4" t="str">
        <f t="shared" si="2"/>
        <v>Тучков И.Д</v>
      </c>
    </row>
    <row r="24">
      <c r="A24" s="11" t="s">
        <v>85</v>
      </c>
      <c r="B24" s="11" t="s">
        <v>69</v>
      </c>
      <c r="C24" s="11" t="s">
        <v>87</v>
      </c>
      <c r="E24" s="4" t="str">
        <f t="shared" si="1"/>
        <v>Сапега Никита Александрович</v>
      </c>
      <c r="F24" s="4" t="str">
        <f t="shared" si="2"/>
        <v>Сапега Н.А</v>
      </c>
    </row>
    <row r="25">
      <c r="A25" s="11" t="s">
        <v>88</v>
      </c>
      <c r="B25" s="11" t="s">
        <v>89</v>
      </c>
      <c r="C25" s="11" t="s">
        <v>83</v>
      </c>
      <c r="E25" s="4" t="str">
        <f t="shared" si="1"/>
        <v>Михайленко Дмитрий Денисович</v>
      </c>
      <c r="F25" s="4" t="str">
        <f t="shared" si="2"/>
        <v>Михайленко Д.Д</v>
      </c>
    </row>
    <row r="26">
      <c r="A26" s="11" t="s">
        <v>91</v>
      </c>
      <c r="B26" s="11" t="s">
        <v>92</v>
      </c>
      <c r="C26" s="11" t="s">
        <v>93</v>
      </c>
      <c r="E26" s="4" t="str">
        <f t="shared" si="1"/>
        <v>Леончик Вероника Евгеньевна</v>
      </c>
      <c r="F26" s="4" t="str">
        <f t="shared" si="2"/>
        <v>Леончик В.Е</v>
      </c>
    </row>
    <row r="27">
      <c r="A27" s="11" t="s">
        <v>94</v>
      </c>
      <c r="B27" s="11" t="s">
        <v>95</v>
      </c>
      <c r="C27" s="11" t="s">
        <v>96</v>
      </c>
      <c r="E27" s="4" t="str">
        <f t="shared" si="1"/>
        <v>Бондарь Антон Викторович</v>
      </c>
      <c r="F27" s="4" t="str">
        <f t="shared" si="2"/>
        <v>Бондарь А.В</v>
      </c>
    </row>
    <row r="28">
      <c r="A28" s="11" t="s">
        <v>98</v>
      </c>
      <c r="B28" s="11" t="s">
        <v>99</v>
      </c>
      <c r="C28" s="11" t="s">
        <v>100</v>
      </c>
      <c r="E28" s="4" t="str">
        <f t="shared" si="1"/>
        <v>Нефедов Микола Геннадійович</v>
      </c>
      <c r="F28" s="4" t="str">
        <f t="shared" si="2"/>
        <v>Нефедов М.Г</v>
      </c>
    </row>
    <row r="29">
      <c r="A29" s="11" t="s">
        <v>82</v>
      </c>
      <c r="B29" s="11" t="s">
        <v>102</v>
      </c>
      <c r="C29" s="11" t="s">
        <v>83</v>
      </c>
      <c r="E29" s="4" t="str">
        <f t="shared" si="1"/>
        <v>Тучков Егор Денисович</v>
      </c>
      <c r="F29" s="4" t="str">
        <f t="shared" si="2"/>
        <v>Тучков Е.Д</v>
      </c>
    </row>
    <row r="30">
      <c r="A30" s="11" t="s">
        <v>103</v>
      </c>
      <c r="B30" s="11" t="s">
        <v>35</v>
      </c>
      <c r="C30" s="11" t="s">
        <v>104</v>
      </c>
      <c r="E30" s="4" t="str">
        <f t="shared" si="1"/>
        <v>Запрудский Виктор Витальевич</v>
      </c>
      <c r="F30" s="4" t="str">
        <f t="shared" si="2"/>
        <v>Запрудский В.В</v>
      </c>
    </row>
    <row r="31">
      <c r="A31" s="11" t="s">
        <v>105</v>
      </c>
      <c r="B31" s="11" t="s">
        <v>106</v>
      </c>
      <c r="C31" s="11" t="s">
        <v>107</v>
      </c>
      <c r="E31" s="4" t="str">
        <f t="shared" si="1"/>
        <v>Власенко Андрей Андреевич</v>
      </c>
      <c r="F31" s="4" t="str">
        <f t="shared" si="2"/>
        <v>Власенко А.А</v>
      </c>
    </row>
    <row r="32">
      <c r="A32" s="11" t="s">
        <v>108</v>
      </c>
      <c r="B32" s="11" t="s">
        <v>109</v>
      </c>
      <c r="C32" s="11" t="s">
        <v>110</v>
      </c>
      <c r="E32" s="4" t="str">
        <f t="shared" si="1"/>
        <v>Кавалеров Владимир Владимирович</v>
      </c>
      <c r="F32" s="4" t="str">
        <f t="shared" si="2"/>
        <v>Кавалеров В.В</v>
      </c>
    </row>
    <row r="33">
      <c r="A33" s="11" t="s">
        <v>111</v>
      </c>
      <c r="B33" s="11" t="s">
        <v>112</v>
      </c>
      <c r="C33" s="11" t="s">
        <v>113</v>
      </c>
      <c r="E33" s="4" t="str">
        <f t="shared" si="1"/>
        <v>Евдокимов Сергей Петрович</v>
      </c>
      <c r="F33" s="4" t="str">
        <f t="shared" si="2"/>
        <v>Евдокимов С.П</v>
      </c>
    </row>
    <row r="34">
      <c r="A34" s="11" t="s">
        <v>114</v>
      </c>
      <c r="B34" s="11" t="s">
        <v>115</v>
      </c>
      <c r="C34" s="11" t="s">
        <v>70</v>
      </c>
      <c r="E34" s="4" t="str">
        <f t="shared" si="1"/>
        <v>Фернандес де Ривес Николай Сергеевич</v>
      </c>
      <c r="F34" s="4" t="str">
        <f t="shared" si="2"/>
        <v>Фернандес де Ривес Н.С</v>
      </c>
    </row>
    <row r="35">
      <c r="A35" s="11" t="s">
        <v>116</v>
      </c>
      <c r="B35" s="11" t="s">
        <v>72</v>
      </c>
      <c r="C35" s="11" t="s">
        <v>117</v>
      </c>
      <c r="E35" s="4" t="str">
        <f t="shared" si="1"/>
        <v>Степовой Владислав Юрьевич</v>
      </c>
      <c r="F35" s="4" t="str">
        <f t="shared" si="2"/>
        <v>Степовой В.Ю</v>
      </c>
    </row>
    <row r="36">
      <c r="A36" s="11" t="s">
        <v>121</v>
      </c>
      <c r="B36" s="11" t="s">
        <v>122</v>
      </c>
      <c r="C36" s="11" t="s">
        <v>123</v>
      </c>
      <c r="E36" s="4" t="str">
        <f t="shared" si="1"/>
        <v>Сурай Алексей Николаевич</v>
      </c>
      <c r="F36" s="4" t="str">
        <f t="shared" si="2"/>
        <v>Сурай А.Н</v>
      </c>
    </row>
    <row r="37">
      <c r="A37" s="11" t="s">
        <v>126</v>
      </c>
      <c r="B37" s="11" t="s">
        <v>127</v>
      </c>
      <c r="C37" s="11" t="s">
        <v>107</v>
      </c>
      <c r="E37" s="4" t="str">
        <f t="shared" si="1"/>
        <v>Остапчук Константин Андреевич</v>
      </c>
      <c r="F37" s="4" t="str">
        <f t="shared" si="2"/>
        <v>Остапчук К.А</v>
      </c>
    </row>
    <row r="38">
      <c r="A38" s="11" t="s">
        <v>128</v>
      </c>
      <c r="B38" s="11" t="s">
        <v>129</v>
      </c>
      <c r="C38" s="11" t="s">
        <v>130</v>
      </c>
      <c r="E38" s="4" t="str">
        <f t="shared" si="1"/>
        <v>Чачко Натан Леонидович</v>
      </c>
      <c r="F38" s="4" t="str">
        <f t="shared" si="2"/>
        <v>Чачко Н.Л</v>
      </c>
    </row>
    <row r="39">
      <c r="A39" s="11" t="s">
        <v>131</v>
      </c>
      <c r="B39" s="11" t="s">
        <v>69</v>
      </c>
      <c r="C39" s="11" t="s">
        <v>133</v>
      </c>
      <c r="E39" s="4" t="str">
        <f t="shared" si="1"/>
        <v>Хмелевский Никита Олегович</v>
      </c>
      <c r="F39" s="4" t="str">
        <f t="shared" si="2"/>
        <v>Хмелевский Н.О</v>
      </c>
    </row>
    <row r="40">
      <c r="A40" s="11" t="s">
        <v>135</v>
      </c>
      <c r="B40" s="11" t="s">
        <v>136</v>
      </c>
      <c r="C40" s="11" t="s">
        <v>137</v>
      </c>
      <c r="E40" s="4" t="str">
        <f t="shared" si="1"/>
        <v>Примикирио Дина Витальевна</v>
      </c>
      <c r="F40" s="4" t="str">
        <f t="shared" si="2"/>
        <v>Примикирио Д.В</v>
      </c>
    </row>
    <row r="41">
      <c r="A41" s="11" t="s">
        <v>138</v>
      </c>
      <c r="B41" s="11" t="s">
        <v>139</v>
      </c>
      <c r="C41" s="11" t="s">
        <v>140</v>
      </c>
      <c r="E41" s="4" t="str">
        <f t="shared" si="1"/>
        <v>Костина Лариса Павловна</v>
      </c>
      <c r="F41" s="4" t="str">
        <f t="shared" si="2"/>
        <v>Костина Л.П</v>
      </c>
    </row>
    <row r="42">
      <c r="A42" s="11" t="s">
        <v>141</v>
      </c>
      <c r="B42" s="11" t="s">
        <v>142</v>
      </c>
      <c r="C42" s="11" t="s">
        <v>70</v>
      </c>
      <c r="E42" s="4" t="str">
        <f t="shared" si="1"/>
        <v>Прокоп Артём Сергеевич</v>
      </c>
      <c r="F42" s="4" t="str">
        <f t="shared" si="2"/>
        <v>Прокоп А.С</v>
      </c>
    </row>
    <row r="43">
      <c r="A43" s="11" t="s">
        <v>143</v>
      </c>
      <c r="B43" s="11" t="s">
        <v>58</v>
      </c>
      <c r="C43" s="11" t="s">
        <v>144</v>
      </c>
      <c r="E43" s="4" t="str">
        <f t="shared" si="1"/>
        <v>Гриб Дарья Сергеевна</v>
      </c>
      <c r="F43" s="4" t="str">
        <f t="shared" si="2"/>
        <v>Гриб Д.С</v>
      </c>
    </row>
    <row r="44">
      <c r="A44" s="11" t="s">
        <v>145</v>
      </c>
      <c r="B44" s="11" t="s">
        <v>38</v>
      </c>
      <c r="C44" s="11" t="s">
        <v>107</v>
      </c>
      <c r="E44" s="4" t="str">
        <f t="shared" si="1"/>
        <v>Чуб Максим Андреевич</v>
      </c>
      <c r="F44" s="4" t="str">
        <f t="shared" si="2"/>
        <v>Чуб М.А</v>
      </c>
    </row>
    <row r="45">
      <c r="A45" s="11" t="s">
        <v>147</v>
      </c>
      <c r="B45" s="11" t="s">
        <v>72</v>
      </c>
      <c r="C45" s="11" t="s">
        <v>104</v>
      </c>
      <c r="E45" s="4" t="str">
        <f t="shared" si="1"/>
        <v>Шахов Владислав Витальевич</v>
      </c>
      <c r="F45" s="4" t="str">
        <f t="shared" si="2"/>
        <v>Шахов В.В</v>
      </c>
    </row>
    <row r="46">
      <c r="A46" s="11" t="s">
        <v>149</v>
      </c>
      <c r="B46" s="11" t="s">
        <v>151</v>
      </c>
      <c r="C46" s="11" t="s">
        <v>93</v>
      </c>
      <c r="E46" s="4" t="str">
        <f t="shared" si="1"/>
        <v>Бердникова София Евгеньевна</v>
      </c>
      <c r="F46" s="4" t="str">
        <f t="shared" si="2"/>
        <v>Бердникова С.Е</v>
      </c>
    </row>
    <row r="47">
      <c r="A47" s="11" t="s">
        <v>152</v>
      </c>
      <c r="B47" s="11" t="s">
        <v>115</v>
      </c>
      <c r="C47" s="11" t="s">
        <v>70</v>
      </c>
      <c r="E47" s="4" t="str">
        <f t="shared" si="1"/>
        <v>Максименко Николай Сергеевич</v>
      </c>
      <c r="F47" s="4" t="str">
        <f t="shared" si="2"/>
        <v>Максименко Н.С</v>
      </c>
    </row>
    <row r="48">
      <c r="A48" s="11" t="s">
        <v>153</v>
      </c>
      <c r="B48" s="11" t="s">
        <v>78</v>
      </c>
      <c r="C48" s="11" t="s">
        <v>67</v>
      </c>
      <c r="E48" s="4" t="str">
        <f t="shared" si="1"/>
        <v>Лях Влад Дмитриевич</v>
      </c>
      <c r="F48" s="4" t="str">
        <f t="shared" si="2"/>
        <v>Лях В.Д</v>
      </c>
    </row>
    <row r="49">
      <c r="A49" s="11" t="s">
        <v>156</v>
      </c>
      <c r="B49" s="11" t="s">
        <v>38</v>
      </c>
      <c r="C49" s="11" t="s">
        <v>157</v>
      </c>
      <c r="E49" s="4" t="str">
        <f t="shared" si="1"/>
        <v>Флоря Максим Геннадиевич</v>
      </c>
      <c r="F49" s="4" t="str">
        <f t="shared" si="2"/>
        <v>Флоря М.Г</v>
      </c>
    </row>
    <row r="50">
      <c r="A50" s="11" t="s">
        <v>158</v>
      </c>
      <c r="B50" s="11" t="s">
        <v>159</v>
      </c>
      <c r="C50" s="11" t="s">
        <v>161</v>
      </c>
      <c r="E50" s="4" t="str">
        <f t="shared" si="1"/>
        <v>Гуренко Анастасия Константиновна</v>
      </c>
      <c r="F50" s="4" t="str">
        <f t="shared" si="2"/>
        <v>Гуренко А.К</v>
      </c>
    </row>
    <row r="51">
      <c r="A51" s="11" t="s">
        <v>164</v>
      </c>
      <c r="B51" s="11" t="s">
        <v>165</v>
      </c>
      <c r="C51" s="11" t="s">
        <v>117</v>
      </c>
      <c r="E51" s="4" t="str">
        <f t="shared" si="1"/>
        <v>Комыш Богдан Юрьевич</v>
      </c>
      <c r="F51" s="4" t="str">
        <f t="shared" si="2"/>
        <v>Комыш Б.Ю</v>
      </c>
    </row>
    <row r="52">
      <c r="A52" s="11" t="s">
        <v>167</v>
      </c>
      <c r="B52" s="11" t="s">
        <v>75</v>
      </c>
      <c r="C52" s="11" t="s">
        <v>87</v>
      </c>
      <c r="E52" s="4" t="str">
        <f t="shared" si="1"/>
        <v>Хромов Евгений Александрович</v>
      </c>
      <c r="F52" s="4" t="str">
        <f t="shared" si="2"/>
        <v>Хромов Е.А</v>
      </c>
    </row>
    <row r="53">
      <c r="A53" s="11" t="s">
        <v>171</v>
      </c>
      <c r="B53" s="11" t="s">
        <v>172</v>
      </c>
      <c r="C53" s="11" t="s">
        <v>70</v>
      </c>
      <c r="E53" s="4" t="str">
        <f t="shared" si="1"/>
        <v>Михальский Александр Сергеевич</v>
      </c>
      <c r="F53" s="4" t="str">
        <f t="shared" si="2"/>
        <v>Михальский А.С</v>
      </c>
    </row>
    <row r="54">
      <c r="A54" s="11" t="s">
        <v>173</v>
      </c>
      <c r="B54" s="11" t="s">
        <v>174</v>
      </c>
      <c r="C54" s="11" t="s">
        <v>144</v>
      </c>
      <c r="E54" s="4" t="str">
        <f t="shared" si="1"/>
        <v>Мартын Екатерина Сергеевна</v>
      </c>
      <c r="F54" s="4" t="str">
        <f t="shared" si="2"/>
        <v>Мартын Е.С</v>
      </c>
    </row>
    <row r="55">
      <c r="A55" s="11" t="s">
        <v>175</v>
      </c>
      <c r="B55" s="11" t="s">
        <v>177</v>
      </c>
      <c r="C55" s="11" t="s">
        <v>137</v>
      </c>
      <c r="E55" s="4" t="str">
        <f t="shared" si="1"/>
        <v>Григорашенко Катерина Витальевна</v>
      </c>
      <c r="F55" s="4" t="str">
        <f t="shared" si="2"/>
        <v>Григорашенко К.В</v>
      </c>
    </row>
    <row r="56">
      <c r="A56" s="11" t="s">
        <v>179</v>
      </c>
      <c r="B56" s="11" t="s">
        <v>180</v>
      </c>
      <c r="C56" s="11" t="s">
        <v>83</v>
      </c>
      <c r="E56" s="4" t="str">
        <f t="shared" si="1"/>
        <v>Мясниченко Глеб Денисович</v>
      </c>
      <c r="F56" s="4" t="str">
        <f t="shared" si="2"/>
        <v>Мясниченко Г.Д</v>
      </c>
    </row>
    <row r="57">
      <c r="A57" s="11" t="s">
        <v>182</v>
      </c>
      <c r="B57" s="11" t="s">
        <v>55</v>
      </c>
      <c r="C57" s="11" t="s">
        <v>183</v>
      </c>
      <c r="E57" s="4" t="str">
        <f t="shared" si="1"/>
        <v>Фудор Костя Станиславович</v>
      </c>
      <c r="F57" s="4" t="str">
        <f t="shared" si="2"/>
        <v>Фудор К.С</v>
      </c>
    </row>
    <row r="58">
      <c r="A58" s="11" t="s">
        <v>184</v>
      </c>
      <c r="B58" s="11" t="s">
        <v>174</v>
      </c>
      <c r="C58" s="11" t="s">
        <v>185</v>
      </c>
      <c r="E58" s="4" t="str">
        <f t="shared" si="1"/>
        <v>Аврахова Екатерина Андреевна</v>
      </c>
      <c r="F58" s="4" t="str">
        <f t="shared" si="2"/>
        <v>Аврахова Е.А</v>
      </c>
    </row>
    <row r="59">
      <c r="A59" s="11" t="s">
        <v>186</v>
      </c>
      <c r="B59" s="11" t="s">
        <v>151</v>
      </c>
      <c r="C59" s="11" t="s">
        <v>187</v>
      </c>
      <c r="E59" s="4" t="str">
        <f t="shared" si="1"/>
        <v>Дидченко София Геннадиевна</v>
      </c>
      <c r="F59" s="4" t="str">
        <f t="shared" si="2"/>
        <v>Дидченко С.Г</v>
      </c>
    </row>
    <row r="60">
      <c r="A60" s="11" t="s">
        <v>188</v>
      </c>
      <c r="B60" s="11" t="s">
        <v>189</v>
      </c>
      <c r="C60" s="11" t="s">
        <v>87</v>
      </c>
      <c r="E60" s="4" t="str">
        <f t="shared" si="1"/>
        <v>Петин Михаил Александрович</v>
      </c>
      <c r="F60" s="4" t="str">
        <f t="shared" si="2"/>
        <v>Петин М.А</v>
      </c>
    </row>
    <row r="61">
      <c r="A61" s="11" t="s">
        <v>190</v>
      </c>
      <c r="B61" s="11" t="s">
        <v>191</v>
      </c>
      <c r="C61" s="11" t="s">
        <v>192</v>
      </c>
      <c r="E61" s="4" t="str">
        <f t="shared" si="1"/>
        <v>Горбулінський Дмитро Олексійович</v>
      </c>
      <c r="F61" s="4" t="str">
        <f t="shared" si="2"/>
        <v>Горбулінський Д.О</v>
      </c>
    </row>
    <row r="62">
      <c r="A62" s="11" t="s">
        <v>194</v>
      </c>
      <c r="B62" s="11" t="s">
        <v>127</v>
      </c>
      <c r="C62" s="11" t="s">
        <v>83</v>
      </c>
      <c r="E62" s="4" t="str">
        <f t="shared" si="1"/>
        <v>Федосеев Константин Денисович</v>
      </c>
      <c r="F62" s="4" t="str">
        <f t="shared" si="2"/>
        <v>Федосеев К.Д</v>
      </c>
    </row>
    <row r="63">
      <c r="A63" s="11" t="s">
        <v>197</v>
      </c>
      <c r="B63" s="11" t="s">
        <v>38</v>
      </c>
      <c r="C63" s="11" t="s">
        <v>198</v>
      </c>
      <c r="E63" s="4" t="str">
        <f t="shared" si="1"/>
        <v>Тихончук Максим Русланович</v>
      </c>
      <c r="F63" s="4" t="str">
        <f t="shared" si="2"/>
        <v>Тихончук М.Р</v>
      </c>
    </row>
    <row r="64">
      <c r="A64" s="11" t="s">
        <v>199</v>
      </c>
      <c r="B64" s="11" t="s">
        <v>200</v>
      </c>
      <c r="C64" s="11" t="s">
        <v>201</v>
      </c>
      <c r="E64" s="4" t="str">
        <f t="shared" si="1"/>
        <v>Чигидина Марина Викторовна</v>
      </c>
      <c r="F64" s="4" t="str">
        <f t="shared" si="2"/>
        <v>Чигидина М.В</v>
      </c>
    </row>
    <row r="65">
      <c r="A65" s="11" t="s">
        <v>203</v>
      </c>
      <c r="B65" s="11" t="s">
        <v>204</v>
      </c>
      <c r="C65" s="11" t="s">
        <v>205</v>
      </c>
      <c r="E65" s="4" t="str">
        <f t="shared" si="1"/>
        <v>Новикова Емилия Валерьевна</v>
      </c>
      <c r="F65" s="4" t="str">
        <f t="shared" si="2"/>
        <v>Новикова Е.В</v>
      </c>
    </row>
    <row r="66">
      <c r="A66" s="11" t="s">
        <v>206</v>
      </c>
      <c r="B66" s="11" t="s">
        <v>207</v>
      </c>
      <c r="C66" s="11" t="s">
        <v>210</v>
      </c>
      <c r="E66" s="4" t="str">
        <f t="shared" si="1"/>
        <v>Яворская Анна Борисовна</v>
      </c>
      <c r="F66" s="4" t="str">
        <f t="shared" si="2"/>
        <v>Яворская А.Б</v>
      </c>
    </row>
    <row r="67">
      <c r="A67" s="11" t="s">
        <v>211</v>
      </c>
      <c r="B67" s="11" t="s">
        <v>212</v>
      </c>
      <c r="C67" s="11" t="s">
        <v>201</v>
      </c>
      <c r="E67" s="4" t="str">
        <f t="shared" si="1"/>
        <v>Герасимчук Татьяна Викторовна</v>
      </c>
      <c r="F67" s="4" t="str">
        <f t="shared" si="2"/>
        <v>Герасимчук Т.В</v>
      </c>
    </row>
    <row r="68">
      <c r="A68" s="11" t="s">
        <v>213</v>
      </c>
      <c r="B68" s="11" t="s">
        <v>214</v>
      </c>
      <c r="C68" s="11" t="s">
        <v>161</v>
      </c>
      <c r="E68" s="4" t="str">
        <f t="shared" si="1"/>
        <v>Костинюк Наташа Константиновна</v>
      </c>
      <c r="F68" s="4" t="str">
        <f t="shared" si="2"/>
        <v>Костинюк Н.К</v>
      </c>
    </row>
    <row r="69">
      <c r="A69" s="11" t="s">
        <v>213</v>
      </c>
      <c r="B69" s="11" t="s">
        <v>214</v>
      </c>
      <c r="C69" s="11" t="s">
        <v>161</v>
      </c>
      <c r="E69" s="4" t="str">
        <f t="shared" si="1"/>
        <v>Костинюк Наташа Константиновна</v>
      </c>
      <c r="F69" s="4" t="str">
        <f t="shared" si="2"/>
        <v>Костинюк Н.К</v>
      </c>
    </row>
    <row r="70">
      <c r="A70" s="11" t="s">
        <v>213</v>
      </c>
      <c r="B70" s="11" t="s">
        <v>217</v>
      </c>
      <c r="C70" s="11" t="s">
        <v>161</v>
      </c>
      <c r="E70" s="4" t="str">
        <f t="shared" si="1"/>
        <v>Костинюк Наталья Константиновна</v>
      </c>
      <c r="F70" s="4" t="str">
        <f t="shared" si="2"/>
        <v>Костинюк Н.К</v>
      </c>
    </row>
    <row r="71">
      <c r="A71" s="11" t="s">
        <v>219</v>
      </c>
      <c r="B71" s="11" t="s">
        <v>127</v>
      </c>
      <c r="C71" s="11" t="s">
        <v>110</v>
      </c>
      <c r="E71" s="4" t="str">
        <f t="shared" si="1"/>
        <v>Заганич Константин Владимирович</v>
      </c>
      <c r="F71" s="4" t="str">
        <f t="shared" si="2"/>
        <v>Заганич К.В</v>
      </c>
    </row>
    <row r="72">
      <c r="A72" s="11" t="s">
        <v>221</v>
      </c>
      <c r="B72" s="11" t="s">
        <v>222</v>
      </c>
      <c r="C72" s="11" t="s">
        <v>30</v>
      </c>
      <c r="E72" s="4" t="str">
        <f t="shared" si="1"/>
        <v>Никитенко Артур Алексеевич</v>
      </c>
      <c r="F72" s="4" t="str">
        <f t="shared" si="2"/>
        <v>Никитенко А.А</v>
      </c>
    </row>
    <row r="73">
      <c r="A73" s="11" t="s">
        <v>213</v>
      </c>
      <c r="B73" s="11" t="s">
        <v>217</v>
      </c>
      <c r="C73" s="11" t="s">
        <v>161</v>
      </c>
      <c r="E73" s="4" t="str">
        <f t="shared" si="1"/>
        <v>Костинюк Наталья Константиновна</v>
      </c>
      <c r="F73" s="4" t="str">
        <f t="shared" si="2"/>
        <v>Костинюк Н.К</v>
      </c>
    </row>
    <row r="74">
      <c r="A74" s="11" t="s">
        <v>223</v>
      </c>
      <c r="B74" s="11" t="s">
        <v>38</v>
      </c>
      <c r="C74" s="11" t="s">
        <v>39</v>
      </c>
      <c r="E74" s="4" t="str">
        <f t="shared" si="1"/>
        <v>Нафтулович Максим Михайлович</v>
      </c>
      <c r="F74" s="4" t="str">
        <f t="shared" si="2"/>
        <v>Нафтулович М.М</v>
      </c>
    </row>
    <row r="75">
      <c r="A75" s="11" t="s">
        <v>223</v>
      </c>
      <c r="B75" s="11" t="s">
        <v>127</v>
      </c>
      <c r="C75" s="11" t="s">
        <v>39</v>
      </c>
      <c r="E75" s="4" t="str">
        <f t="shared" si="1"/>
        <v>Нафтулович Константин Михайлович</v>
      </c>
      <c r="F75" s="4" t="str">
        <f t="shared" si="2"/>
        <v>Нафтулович К.М</v>
      </c>
    </row>
    <row r="76">
      <c r="A76" s="11" t="s">
        <v>226</v>
      </c>
      <c r="B76" s="11" t="s">
        <v>227</v>
      </c>
      <c r="C76" s="11" t="s">
        <v>228</v>
      </c>
      <c r="E76" s="4" t="str">
        <f t="shared" si="1"/>
        <v>Шмаленко Влада Радионовна</v>
      </c>
      <c r="F76" s="4" t="str">
        <f t="shared" si="2"/>
        <v>Шмаленко В.Р</v>
      </c>
    </row>
    <row r="77">
      <c r="A77" s="11" t="s">
        <v>229</v>
      </c>
      <c r="B77" s="11" t="s">
        <v>174</v>
      </c>
      <c r="C77" s="11" t="s">
        <v>48</v>
      </c>
      <c r="E77" s="4" t="str">
        <f t="shared" si="1"/>
        <v>Цветок Екатерина Александровна</v>
      </c>
      <c r="F77" s="4" t="str">
        <f t="shared" si="2"/>
        <v>Цветок Е.А</v>
      </c>
    </row>
    <row r="78">
      <c r="A78" s="11" t="s">
        <v>231</v>
      </c>
      <c r="B78" s="11" t="s">
        <v>232</v>
      </c>
      <c r="C78" s="11" t="s">
        <v>233</v>
      </c>
      <c r="E78" s="4" t="str">
        <f t="shared" si="1"/>
        <v>Раділов Олексій Іванович</v>
      </c>
      <c r="F78" s="4" t="str">
        <f t="shared" si="2"/>
        <v>Раділов О.І</v>
      </c>
    </row>
    <row r="79">
      <c r="A79" s="11" t="s">
        <v>234</v>
      </c>
      <c r="B79" s="11" t="s">
        <v>235</v>
      </c>
      <c r="C79" s="11" t="s">
        <v>236</v>
      </c>
      <c r="E79" s="4" t="str">
        <f t="shared" si="1"/>
        <v>Казарян Лаура Артуровна</v>
      </c>
      <c r="F79" s="4" t="str">
        <f t="shared" si="2"/>
        <v>Казарян Л.А</v>
      </c>
    </row>
    <row r="80">
      <c r="A80" s="11" t="s">
        <v>237</v>
      </c>
      <c r="B80" s="11" t="s">
        <v>238</v>
      </c>
      <c r="C80" s="11" t="s">
        <v>239</v>
      </c>
      <c r="E80" s="4" t="str">
        <f t="shared" si="1"/>
        <v>Хадри Дана Бушр</v>
      </c>
      <c r="F80" s="4" t="str">
        <f t="shared" si="2"/>
        <v>Хадри Д.Б</v>
      </c>
    </row>
    <row r="81">
      <c r="A81" s="11" t="s">
        <v>237</v>
      </c>
      <c r="B81" s="11" t="s">
        <v>238</v>
      </c>
      <c r="C81" s="11" t="s">
        <v>239</v>
      </c>
      <c r="E81" s="4" t="str">
        <f t="shared" si="1"/>
        <v>Хадри Дана Бушр</v>
      </c>
      <c r="F81" s="4" t="str">
        <f t="shared" si="2"/>
        <v>Хадри Д.Б</v>
      </c>
    </row>
    <row r="82">
      <c r="A82" s="11" t="s">
        <v>237</v>
      </c>
      <c r="B82" s="11" t="s">
        <v>238</v>
      </c>
      <c r="C82" s="11" t="s">
        <v>239</v>
      </c>
      <c r="E82" s="4" t="str">
        <f t="shared" si="1"/>
        <v>Хадри Дана Бушр</v>
      </c>
      <c r="F82" s="4" t="str">
        <f t="shared" si="2"/>
        <v>Хадри Д.Б</v>
      </c>
    </row>
    <row r="83">
      <c r="A83" s="11" t="s">
        <v>141</v>
      </c>
      <c r="B83" s="11" t="s">
        <v>142</v>
      </c>
      <c r="C83" s="11" t="s">
        <v>70</v>
      </c>
      <c r="E83" s="4" t="str">
        <f t="shared" si="1"/>
        <v>Прокоп Артём Сергеевич</v>
      </c>
      <c r="F83" s="4" t="str">
        <f t="shared" si="2"/>
        <v>Прокоп А.С</v>
      </c>
    </row>
    <row r="84">
      <c r="A84" s="11" t="s">
        <v>244</v>
      </c>
      <c r="B84" s="11" t="s">
        <v>245</v>
      </c>
      <c r="C84" s="11" t="s">
        <v>33</v>
      </c>
      <c r="E84" s="4" t="str">
        <f t="shared" si="1"/>
        <v>Харченко Герман Вадимович</v>
      </c>
      <c r="F84" s="4" t="str">
        <f t="shared" si="2"/>
        <v>Харченко Г.В</v>
      </c>
    </row>
    <row r="85">
      <c r="A85" s="11" t="s">
        <v>246</v>
      </c>
      <c r="B85" s="11" t="s">
        <v>172</v>
      </c>
      <c r="C85" s="11" t="s">
        <v>247</v>
      </c>
      <c r="E85" s="4" t="str">
        <f t="shared" si="1"/>
        <v>Харламов-Школяренко Александр Анатольевич</v>
      </c>
      <c r="F85" s="4" t="str">
        <f t="shared" si="2"/>
        <v>Харламов-Школяренко А.А</v>
      </c>
    </row>
    <row r="86">
      <c r="A86" s="11" t="s">
        <v>249</v>
      </c>
      <c r="B86" s="11" t="s">
        <v>172</v>
      </c>
      <c r="C86" s="11" t="s">
        <v>45</v>
      </c>
      <c r="E86" s="4" t="str">
        <f t="shared" si="1"/>
        <v>Сулима Александр Валентинович</v>
      </c>
      <c r="F86" s="4" t="str">
        <f t="shared" si="2"/>
        <v>Сулима А.В</v>
      </c>
    </row>
    <row r="87">
      <c r="A87" s="11" t="s">
        <v>251</v>
      </c>
      <c r="B87" s="11" t="s">
        <v>227</v>
      </c>
      <c r="C87" s="11" t="s">
        <v>48</v>
      </c>
      <c r="E87" s="4" t="str">
        <f t="shared" si="1"/>
        <v>Македонская Влада Александровна</v>
      </c>
      <c r="F87" s="4" t="str">
        <f t="shared" si="2"/>
        <v>Македонская В.А</v>
      </c>
    </row>
    <row r="88">
      <c r="A88" s="11" t="s">
        <v>254</v>
      </c>
      <c r="B88" s="11" t="s">
        <v>102</v>
      </c>
      <c r="C88" s="11" t="s">
        <v>107</v>
      </c>
      <c r="E88" s="4" t="str">
        <f t="shared" si="1"/>
        <v>Котенёв Егор Андреевич</v>
      </c>
      <c r="F88" s="4" t="str">
        <f t="shared" si="2"/>
        <v>Котенёв Е.А</v>
      </c>
    </row>
    <row r="89">
      <c r="A89" s="11" t="s">
        <v>255</v>
      </c>
      <c r="B89" s="11" t="s">
        <v>172</v>
      </c>
      <c r="C89" s="11" t="s">
        <v>56</v>
      </c>
      <c r="E89" s="4" t="str">
        <f t="shared" si="1"/>
        <v>Щур Александр Вячеславович</v>
      </c>
      <c r="F89" s="4" t="str">
        <f t="shared" si="2"/>
        <v>Щур А.В</v>
      </c>
    </row>
    <row r="90">
      <c r="A90" s="11" t="s">
        <v>256</v>
      </c>
      <c r="B90" s="11" t="s">
        <v>66</v>
      </c>
      <c r="C90" s="11" t="s">
        <v>30</v>
      </c>
      <c r="E90" s="4" t="str">
        <f t="shared" si="1"/>
        <v>Жажин Даниил Алексеевич</v>
      </c>
      <c r="F90" s="4" t="str">
        <f t="shared" si="2"/>
        <v>Жажин Д.А</v>
      </c>
    </row>
    <row r="91">
      <c r="A91" s="11" t="s">
        <v>256</v>
      </c>
      <c r="B91" s="11" t="s">
        <v>66</v>
      </c>
      <c r="C91" s="11" t="s">
        <v>30</v>
      </c>
      <c r="E91" s="4" t="str">
        <f t="shared" si="1"/>
        <v>Жажин Даниил Алексеевич</v>
      </c>
      <c r="F91" s="4" t="str">
        <f t="shared" si="2"/>
        <v>Жажин Д.А</v>
      </c>
    </row>
    <row r="92">
      <c r="A92" s="11" t="s">
        <v>257</v>
      </c>
      <c r="B92" s="11" t="s">
        <v>258</v>
      </c>
      <c r="C92" s="11" t="s">
        <v>259</v>
      </c>
      <c r="E92" s="4" t="str">
        <f t="shared" si="1"/>
        <v>Мармалюк Олександр Валерійович</v>
      </c>
      <c r="F92" s="4" t="str">
        <f t="shared" si="2"/>
        <v>Мармалюк О.В</v>
      </c>
    </row>
    <row r="93">
      <c r="A93" s="11" t="s">
        <v>260</v>
      </c>
      <c r="B93" s="11" t="s">
        <v>172</v>
      </c>
      <c r="C93" s="11" t="s">
        <v>123</v>
      </c>
      <c r="E93" s="4" t="str">
        <f t="shared" si="1"/>
        <v>Балабан Александр Николаевич</v>
      </c>
      <c r="F93" s="4" t="str">
        <f t="shared" si="2"/>
        <v>Балабан А.Н</v>
      </c>
    </row>
    <row r="94">
      <c r="A94" s="11" t="s">
        <v>261</v>
      </c>
      <c r="B94" s="11" t="s">
        <v>109</v>
      </c>
      <c r="C94" s="11" t="s">
        <v>30</v>
      </c>
      <c r="E94" s="4" t="str">
        <f t="shared" si="1"/>
        <v>Кича Владимир Алексеевич</v>
      </c>
      <c r="F94" s="4" t="str">
        <f t="shared" si="2"/>
        <v>Кича В.А</v>
      </c>
    </row>
    <row r="95">
      <c r="A95" s="11" t="s">
        <v>262</v>
      </c>
      <c r="B95" s="11" t="s">
        <v>58</v>
      </c>
      <c r="C95" s="11" t="s">
        <v>144</v>
      </c>
      <c r="E95" s="4" t="str">
        <f t="shared" si="1"/>
        <v>Яроцкая Дарья Сергеевна</v>
      </c>
      <c r="F95" s="4" t="str">
        <f t="shared" si="2"/>
        <v>Яроцкая Д.С</v>
      </c>
    </row>
    <row r="96">
      <c r="A96" s="11" t="s">
        <v>263</v>
      </c>
      <c r="B96" s="11" t="s">
        <v>174</v>
      </c>
      <c r="C96" s="11" t="s">
        <v>59</v>
      </c>
      <c r="E96" s="4" t="str">
        <f t="shared" si="1"/>
        <v>Романцова Екатерина Юрьевна</v>
      </c>
      <c r="F96" s="4" t="str">
        <f t="shared" si="2"/>
        <v>Романцова Е.Ю</v>
      </c>
    </row>
    <row r="97">
      <c r="A97" s="11" t="s">
        <v>264</v>
      </c>
      <c r="B97" s="11" t="s">
        <v>38</v>
      </c>
      <c r="C97" s="11" t="s">
        <v>265</v>
      </c>
      <c r="E97" s="4" t="str">
        <f t="shared" si="1"/>
        <v>Арсеньев Максим Миколайович</v>
      </c>
      <c r="F97" s="4" t="str">
        <f t="shared" si="2"/>
        <v>Арсеньев М.М</v>
      </c>
    </row>
    <row r="98">
      <c r="A98" s="11" t="s">
        <v>266</v>
      </c>
      <c r="B98" s="11" t="s">
        <v>189</v>
      </c>
      <c r="C98" s="11" t="s">
        <v>267</v>
      </c>
      <c r="E98" s="4" t="str">
        <f t="shared" si="1"/>
        <v>Шиндер Михаил Ильич</v>
      </c>
      <c r="F98" s="4" t="str">
        <f t="shared" si="2"/>
        <v>Шиндер М.И</v>
      </c>
    </row>
    <row r="99">
      <c r="A99" s="11" t="s">
        <v>173</v>
      </c>
      <c r="B99" s="11" t="s">
        <v>174</v>
      </c>
      <c r="C99" s="11" t="s">
        <v>144</v>
      </c>
      <c r="E99" s="4" t="str">
        <f t="shared" si="1"/>
        <v>Мартын Екатерина Сергеевна</v>
      </c>
      <c r="F99" s="4" t="str">
        <f t="shared" si="2"/>
        <v>Мартын Е.С</v>
      </c>
    </row>
    <row r="100">
      <c r="A100" s="11" t="s">
        <v>268</v>
      </c>
      <c r="B100" s="11" t="s">
        <v>269</v>
      </c>
      <c r="C100" s="11" t="s">
        <v>270</v>
      </c>
      <c r="E100" s="4" t="str">
        <f t="shared" si="1"/>
        <v>Хоробрых Нина Евгениевна</v>
      </c>
      <c r="F100" s="4" t="str">
        <f t="shared" si="2"/>
        <v>Хоробрых Н.Е</v>
      </c>
    </row>
    <row r="101">
      <c r="A101" s="11" t="s">
        <v>271</v>
      </c>
      <c r="B101" s="11" t="s">
        <v>127</v>
      </c>
      <c r="C101" s="11" t="s">
        <v>123</v>
      </c>
      <c r="E101" s="4" t="str">
        <f t="shared" si="1"/>
        <v>Бондарчук Константин Николаевич</v>
      </c>
      <c r="F101" s="4" t="str">
        <f t="shared" si="2"/>
        <v>Бондарчук К.Н</v>
      </c>
    </row>
    <row r="102">
      <c r="A102" s="11" t="s">
        <v>272</v>
      </c>
      <c r="B102" s="11" t="s">
        <v>273</v>
      </c>
      <c r="C102" s="11" t="s">
        <v>104</v>
      </c>
      <c r="E102" s="4" t="str">
        <f t="shared" si="1"/>
        <v>Кокин Виталий Витальевич</v>
      </c>
      <c r="F102" s="4" t="str">
        <f t="shared" si="2"/>
        <v>Кокин В.В</v>
      </c>
    </row>
    <row r="103">
      <c r="A103" s="11" t="s">
        <v>274</v>
      </c>
      <c r="B103" s="11" t="s">
        <v>106</v>
      </c>
      <c r="C103" s="11" t="s">
        <v>107</v>
      </c>
      <c r="E103" s="4" t="str">
        <f t="shared" si="1"/>
        <v>Канивец Андрей Андреевич</v>
      </c>
      <c r="F103" s="4" t="str">
        <f t="shared" si="2"/>
        <v>Канивец А.А</v>
      </c>
    </row>
    <row r="104">
      <c r="A104" s="11" t="s">
        <v>275</v>
      </c>
      <c r="B104" s="11" t="s">
        <v>159</v>
      </c>
      <c r="C104" s="34" t="s">
        <v>59</v>
      </c>
      <c r="E104" s="4" t="str">
        <f t="shared" si="1"/>
        <v>Климко Анастасия Юрьевна</v>
      </c>
      <c r="F104" s="4" t="str">
        <f t="shared" si="2"/>
        <v>Климко А.Ю</v>
      </c>
    </row>
    <row r="105">
      <c r="A105" s="11" t="s">
        <v>277</v>
      </c>
      <c r="B105" s="11" t="s">
        <v>165</v>
      </c>
      <c r="C105" s="11"/>
      <c r="E105" s="4" t="str">
        <f t="shared" si="1"/>
        <v>Исаков Богдан </v>
      </c>
      <c r="F105" s="4" t="str">
        <f t="shared" si="2"/>
        <v>Исаков Б.</v>
      </c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27.13"/>
    <col customWidth="1" min="3" max="3" width="18.5"/>
  </cols>
  <sheetData>
    <row r="1">
      <c r="A1" s="9" t="s">
        <v>61</v>
      </c>
      <c r="B1" s="13" t="s">
        <v>63</v>
      </c>
      <c r="C1" s="14"/>
      <c r="D1" s="15"/>
      <c r="E1" s="16"/>
    </row>
    <row r="2">
      <c r="A2" s="17">
        <v>5.09756324E8</v>
      </c>
      <c r="B2" s="17" t="str">
        <f t="shared" ref="B2:B94" si="1">right(A2,9)</f>
        <v>509756324</v>
      </c>
      <c r="C2" s="14" t="str">
        <f t="shared" ref="C2:C94" si="2">right(A2,7)</f>
        <v>9756324</v>
      </c>
      <c r="D2" s="15">
        <v>5.09756324E8</v>
      </c>
      <c r="E2" s="16">
        <v>9756324.0</v>
      </c>
    </row>
    <row r="3">
      <c r="A3" s="17">
        <v>9.72175876E8</v>
      </c>
      <c r="B3" s="17" t="str">
        <f t="shared" si="1"/>
        <v>972175876</v>
      </c>
      <c r="C3" s="14" t="str">
        <f t="shared" si="2"/>
        <v>2175876</v>
      </c>
      <c r="D3" s="15">
        <v>9.72175876E8</v>
      </c>
      <c r="E3" s="16">
        <v>2175876.0</v>
      </c>
      <c r="I3" s="2" t="s">
        <v>76</v>
      </c>
    </row>
    <row r="4">
      <c r="A4" s="17">
        <v>9.7484754E8</v>
      </c>
      <c r="B4" s="17" t="str">
        <f t="shared" si="1"/>
        <v>974847540</v>
      </c>
      <c r="C4" s="14" t="str">
        <f t="shared" si="2"/>
        <v>4847540</v>
      </c>
      <c r="D4" s="15">
        <v>9.7484754E8</v>
      </c>
      <c r="E4" s="16">
        <v>4847540.0</v>
      </c>
    </row>
    <row r="5">
      <c r="A5" s="17">
        <v>6.77235957E8</v>
      </c>
      <c r="B5" s="17" t="str">
        <f t="shared" si="1"/>
        <v>677235957</v>
      </c>
      <c r="C5" s="14" t="str">
        <f t="shared" si="2"/>
        <v>7235957</v>
      </c>
      <c r="D5" s="15">
        <v>6.77235957E8</v>
      </c>
      <c r="E5" s="16">
        <v>7235957.0</v>
      </c>
    </row>
    <row r="6">
      <c r="A6" s="20" t="s">
        <v>79</v>
      </c>
      <c r="B6" s="17" t="str">
        <f t="shared" si="1"/>
        <v>679221389</v>
      </c>
      <c r="C6" s="14" t="str">
        <f t="shared" si="2"/>
        <v>9221389</v>
      </c>
      <c r="D6" s="15">
        <v>6.79221389E8</v>
      </c>
      <c r="E6" s="16">
        <v>9221389.0</v>
      </c>
    </row>
    <row r="7">
      <c r="A7" s="20" t="s">
        <v>81</v>
      </c>
      <c r="B7" s="17" t="str">
        <f t="shared" si="1"/>
        <v>685008696</v>
      </c>
      <c r="C7" s="14" t="str">
        <f t="shared" si="2"/>
        <v>5008696</v>
      </c>
      <c r="D7" s="15">
        <v>6.85008696E8</v>
      </c>
      <c r="E7" s="16">
        <v>5008696.0</v>
      </c>
    </row>
    <row r="8">
      <c r="A8" s="20" t="s">
        <v>84</v>
      </c>
      <c r="B8" s="17" t="str">
        <f t="shared" si="1"/>
        <v>668805222</v>
      </c>
      <c r="C8" s="14" t="str">
        <f t="shared" si="2"/>
        <v>8805222</v>
      </c>
      <c r="D8" s="15">
        <v>6.68805222E8</v>
      </c>
      <c r="E8" s="16">
        <v>8805222.0</v>
      </c>
    </row>
    <row r="9">
      <c r="A9" s="20" t="s">
        <v>86</v>
      </c>
      <c r="B9" s="17" t="str">
        <f t="shared" si="1"/>
        <v>637352238</v>
      </c>
      <c r="C9" s="14" t="str">
        <f t="shared" si="2"/>
        <v>7352238</v>
      </c>
      <c r="D9" s="15">
        <v>6.37352238E8</v>
      </c>
      <c r="E9" s="16">
        <v>7352238.0</v>
      </c>
    </row>
    <row r="10">
      <c r="A10" s="17">
        <v>6.73961683E8</v>
      </c>
      <c r="B10" s="17" t="str">
        <f t="shared" si="1"/>
        <v>673961683</v>
      </c>
      <c r="C10" s="14" t="str">
        <f t="shared" si="2"/>
        <v>3961683</v>
      </c>
      <c r="D10" s="15">
        <v>6.73961683E8</v>
      </c>
      <c r="E10" s="16">
        <v>3961683.0</v>
      </c>
    </row>
    <row r="11">
      <c r="A11" s="20" t="s">
        <v>90</v>
      </c>
      <c r="B11" s="17" t="str">
        <f t="shared" si="1"/>
        <v>674177621</v>
      </c>
      <c r="C11" s="14" t="str">
        <f t="shared" si="2"/>
        <v>4177621</v>
      </c>
      <c r="D11" s="15">
        <v>6.74177621E8</v>
      </c>
      <c r="E11" s="16">
        <v>4177621.0</v>
      </c>
    </row>
    <row r="12">
      <c r="A12" s="20" t="s">
        <v>97</v>
      </c>
      <c r="B12" s="17" t="str">
        <f t="shared" si="1"/>
        <v>990181270</v>
      </c>
      <c r="C12" s="14" t="str">
        <f t="shared" si="2"/>
        <v>0181270</v>
      </c>
      <c r="D12" s="15">
        <v>9.9018127E8</v>
      </c>
      <c r="E12" s="16">
        <v>181270.0</v>
      </c>
    </row>
    <row r="13">
      <c r="A13" s="20" t="s">
        <v>101</v>
      </c>
      <c r="B13" s="17" t="str">
        <f t="shared" si="1"/>
        <v>980424742</v>
      </c>
      <c r="C13" s="14" t="str">
        <f t="shared" si="2"/>
        <v>0424742</v>
      </c>
      <c r="D13" s="15">
        <v>9.80424742E8</v>
      </c>
      <c r="E13" s="16">
        <v>424742.0</v>
      </c>
    </row>
    <row r="14">
      <c r="A14" s="17">
        <v>6.83898299E8</v>
      </c>
      <c r="B14" s="17" t="str">
        <f t="shared" si="1"/>
        <v>683898299</v>
      </c>
      <c r="C14" s="14" t="str">
        <f t="shared" si="2"/>
        <v>3898299</v>
      </c>
      <c r="D14" s="15">
        <v>6.83898299E8</v>
      </c>
      <c r="E14" s="16">
        <v>3898299.0</v>
      </c>
    </row>
    <row r="15">
      <c r="A15" s="17">
        <v>9.8220401E8</v>
      </c>
      <c r="B15" s="17" t="str">
        <f t="shared" si="1"/>
        <v>982204010</v>
      </c>
      <c r="C15" s="14" t="str">
        <f t="shared" si="2"/>
        <v>2204010</v>
      </c>
      <c r="D15" s="15">
        <v>9.8220401E8</v>
      </c>
      <c r="E15" s="16">
        <v>2204010.0</v>
      </c>
    </row>
    <row r="16">
      <c r="A16" s="17">
        <v>3.80969205729E11</v>
      </c>
      <c r="B16" s="17" t="str">
        <f t="shared" si="1"/>
        <v>969205729</v>
      </c>
      <c r="C16" s="14" t="str">
        <f t="shared" si="2"/>
        <v>9205729</v>
      </c>
      <c r="D16" s="15">
        <v>9.69205729E8</v>
      </c>
      <c r="E16" s="16">
        <v>9205729.0</v>
      </c>
    </row>
    <row r="17">
      <c r="A17" s="17">
        <v>9.60790437E8</v>
      </c>
      <c r="B17" s="17" t="str">
        <f t="shared" si="1"/>
        <v>960790437</v>
      </c>
      <c r="C17" s="14" t="str">
        <f t="shared" si="2"/>
        <v>0790437</v>
      </c>
      <c r="D17" s="15">
        <v>9.60790437E8</v>
      </c>
      <c r="E17" s="16">
        <v>790437.0</v>
      </c>
    </row>
    <row r="18">
      <c r="A18" s="17">
        <v>6.67437733E8</v>
      </c>
      <c r="B18" s="17" t="str">
        <f t="shared" si="1"/>
        <v>667437733</v>
      </c>
      <c r="C18" s="14" t="str">
        <f t="shared" si="2"/>
        <v>7437733</v>
      </c>
      <c r="D18" s="15">
        <v>6.67437733E8</v>
      </c>
      <c r="E18" s="16">
        <v>7437733.0</v>
      </c>
    </row>
    <row r="19">
      <c r="A19" s="17">
        <v>9.82141839E8</v>
      </c>
      <c r="B19" s="17" t="str">
        <f t="shared" si="1"/>
        <v>982141839</v>
      </c>
      <c r="C19" s="14" t="str">
        <f t="shared" si="2"/>
        <v>2141839</v>
      </c>
      <c r="D19" s="15">
        <v>9.82141839E8</v>
      </c>
      <c r="E19" s="16">
        <v>2141839.0</v>
      </c>
    </row>
    <row r="20">
      <c r="A20" s="17">
        <v>9.72168316E8</v>
      </c>
      <c r="B20" s="17" t="str">
        <f t="shared" si="1"/>
        <v>972168316</v>
      </c>
      <c r="C20" s="14" t="str">
        <f t="shared" si="2"/>
        <v>2168316</v>
      </c>
      <c r="D20" s="15">
        <v>9.72168316E8</v>
      </c>
      <c r="E20" s="16">
        <v>2168316.0</v>
      </c>
    </row>
    <row r="21">
      <c r="A21" s="17">
        <v>9.9771819E8</v>
      </c>
      <c r="B21" s="17" t="str">
        <f t="shared" si="1"/>
        <v>997718190</v>
      </c>
      <c r="C21" s="14" t="str">
        <f t="shared" si="2"/>
        <v>7718190</v>
      </c>
      <c r="D21" s="15">
        <v>9.9771819E8</v>
      </c>
      <c r="E21" s="16">
        <v>7718190.0</v>
      </c>
    </row>
    <row r="22">
      <c r="A22" s="20" t="s">
        <v>118</v>
      </c>
      <c r="B22" s="17" t="str">
        <f t="shared" si="1"/>
        <v>495-15-85</v>
      </c>
      <c r="C22" s="14" t="str">
        <f t="shared" si="2"/>
        <v>5-15-85</v>
      </c>
      <c r="D22" s="15" t="s">
        <v>119</v>
      </c>
      <c r="E22" s="16" t="s">
        <v>120</v>
      </c>
    </row>
    <row r="23">
      <c r="A23" s="17">
        <v>6.678553582E9</v>
      </c>
      <c r="B23" s="17" t="str">
        <f t="shared" si="1"/>
        <v>678553582</v>
      </c>
      <c r="C23" s="14" t="str">
        <f t="shared" si="2"/>
        <v>8553582</v>
      </c>
      <c r="D23" s="15">
        <v>6.78553582E8</v>
      </c>
      <c r="E23" s="16">
        <v>8553582.0</v>
      </c>
    </row>
    <row r="24">
      <c r="A24" s="17">
        <v>9.63579004E8</v>
      </c>
      <c r="B24" s="17" t="str">
        <f t="shared" si="1"/>
        <v>963579004</v>
      </c>
      <c r="C24" s="14" t="str">
        <f t="shared" si="2"/>
        <v>3579004</v>
      </c>
      <c r="D24" s="15">
        <v>9.63579004E8</v>
      </c>
      <c r="E24" s="16">
        <v>3579004.0</v>
      </c>
    </row>
    <row r="25">
      <c r="A25" s="20" t="s">
        <v>124</v>
      </c>
      <c r="B25" s="17" t="str">
        <f t="shared" si="1"/>
        <v>988690452</v>
      </c>
      <c r="C25" s="14" t="str">
        <f t="shared" si="2"/>
        <v>8690452</v>
      </c>
      <c r="D25" s="15">
        <v>9.88690452E8</v>
      </c>
      <c r="E25" s="16">
        <v>8690452.0</v>
      </c>
    </row>
    <row r="26">
      <c r="A26" s="20" t="s">
        <v>125</v>
      </c>
      <c r="B26" s="17" t="str">
        <f t="shared" si="1"/>
        <v>666347028</v>
      </c>
      <c r="C26" s="14" t="str">
        <f t="shared" si="2"/>
        <v>6347028</v>
      </c>
      <c r="D26" s="15">
        <v>6.66347028E8</v>
      </c>
      <c r="E26" s="16">
        <v>6347028.0</v>
      </c>
    </row>
    <row r="27">
      <c r="A27" s="17">
        <v>9.49323072E8</v>
      </c>
      <c r="B27" s="17" t="str">
        <f t="shared" si="1"/>
        <v>949323072</v>
      </c>
      <c r="C27" s="14" t="str">
        <f t="shared" si="2"/>
        <v>9323072</v>
      </c>
      <c r="D27" s="15">
        <v>9.49323072E8</v>
      </c>
      <c r="E27" s="16">
        <v>9323072.0</v>
      </c>
    </row>
    <row r="28">
      <c r="A28" s="17">
        <v>3.80972929706E11</v>
      </c>
      <c r="B28" s="17" t="str">
        <f t="shared" si="1"/>
        <v>972929706</v>
      </c>
      <c r="C28" s="14" t="str">
        <f t="shared" si="2"/>
        <v>2929706</v>
      </c>
      <c r="D28" s="15">
        <v>9.72929706E8</v>
      </c>
      <c r="E28" s="16">
        <v>2929706.0</v>
      </c>
    </row>
    <row r="29">
      <c r="A29" s="20" t="s">
        <v>132</v>
      </c>
      <c r="B29" s="17" t="str">
        <f t="shared" si="1"/>
        <v>723-06-87</v>
      </c>
      <c r="C29" s="14" t="str">
        <f t="shared" si="2"/>
        <v>3-06-87</v>
      </c>
      <c r="D29" s="15" t="s">
        <v>134</v>
      </c>
      <c r="E29" s="16">
        <v>31931.0</v>
      </c>
    </row>
    <row r="30">
      <c r="A30" s="17">
        <v>3.80984989647E11</v>
      </c>
      <c r="B30" s="17" t="str">
        <f t="shared" si="1"/>
        <v>984989647</v>
      </c>
      <c r="C30" s="14" t="str">
        <f t="shared" si="2"/>
        <v>4989647</v>
      </c>
      <c r="D30" s="15">
        <v>9.84989647E8</v>
      </c>
      <c r="E30" s="16">
        <v>4989647.0</v>
      </c>
    </row>
    <row r="31">
      <c r="A31" s="17">
        <v>6.31361567E8</v>
      </c>
      <c r="B31" s="17" t="str">
        <f t="shared" si="1"/>
        <v>631361567</v>
      </c>
      <c r="C31" s="14" t="str">
        <f t="shared" si="2"/>
        <v>1361567</v>
      </c>
      <c r="D31" s="15">
        <v>6.31361567E8</v>
      </c>
      <c r="E31" s="16">
        <v>1361567.0</v>
      </c>
    </row>
    <row r="32">
      <c r="A32" s="17">
        <v>6.79209211E8</v>
      </c>
      <c r="B32" s="17" t="str">
        <f t="shared" si="1"/>
        <v>679209211</v>
      </c>
      <c r="C32" s="14" t="str">
        <f t="shared" si="2"/>
        <v>9209211</v>
      </c>
      <c r="D32" s="15">
        <v>6.79209211E8</v>
      </c>
      <c r="E32" s="16">
        <v>9209211.0</v>
      </c>
    </row>
    <row r="33">
      <c r="A33" s="17">
        <v>6.74880197E8</v>
      </c>
      <c r="B33" s="17" t="str">
        <f t="shared" si="1"/>
        <v>674880197</v>
      </c>
      <c r="C33" s="14" t="str">
        <f t="shared" si="2"/>
        <v>4880197</v>
      </c>
      <c r="D33" s="15">
        <v>6.74880197E8</v>
      </c>
      <c r="E33" s="16">
        <v>4880197.0</v>
      </c>
    </row>
    <row r="34">
      <c r="A34" s="17">
        <v>5.05130125E8</v>
      </c>
      <c r="B34" s="17" t="str">
        <f t="shared" si="1"/>
        <v>505130125</v>
      </c>
      <c r="C34" s="14" t="str">
        <f t="shared" si="2"/>
        <v>5130125</v>
      </c>
      <c r="D34" s="15">
        <v>5.05130125E8</v>
      </c>
      <c r="E34" s="16">
        <v>5130125.0</v>
      </c>
    </row>
    <row r="35">
      <c r="A35" s="17">
        <v>5.09792811E8</v>
      </c>
      <c r="B35" s="17" t="str">
        <f t="shared" si="1"/>
        <v>509792811</v>
      </c>
      <c r="C35" s="14" t="str">
        <f t="shared" si="2"/>
        <v>9792811</v>
      </c>
      <c r="D35" s="15">
        <v>5.09792811E8</v>
      </c>
      <c r="E35" s="16">
        <v>9792811.0</v>
      </c>
    </row>
    <row r="36">
      <c r="A36" s="20" t="s">
        <v>146</v>
      </c>
      <c r="B36" s="17" t="str">
        <f t="shared" si="1"/>
        <v>674861520</v>
      </c>
      <c r="C36" s="14" t="str">
        <f t="shared" si="2"/>
        <v>4861520</v>
      </c>
      <c r="D36" s="15">
        <v>6.7486152E8</v>
      </c>
      <c r="E36" s="16">
        <v>4861520.0</v>
      </c>
    </row>
    <row r="37">
      <c r="A37" s="17">
        <v>6.6618727E8</v>
      </c>
      <c r="B37" s="17" t="str">
        <f t="shared" si="1"/>
        <v>666187270</v>
      </c>
      <c r="C37" s="14" t="str">
        <f t="shared" si="2"/>
        <v>6187270</v>
      </c>
      <c r="D37" s="15">
        <v>6.6618727E8</v>
      </c>
      <c r="E37" s="16">
        <v>6187270.0</v>
      </c>
    </row>
    <row r="38">
      <c r="A38" s="20" t="s">
        <v>148</v>
      </c>
      <c r="B38" s="17" t="str">
        <f t="shared" si="1"/>
        <v>681228716</v>
      </c>
      <c r="C38" s="14" t="str">
        <f t="shared" si="2"/>
        <v>1228716</v>
      </c>
      <c r="D38" s="15">
        <v>6.81228716E8</v>
      </c>
      <c r="E38" s="16">
        <v>1228716.0</v>
      </c>
    </row>
    <row r="39">
      <c r="A39" s="20" t="s">
        <v>150</v>
      </c>
      <c r="B39" s="17" t="str">
        <f t="shared" si="1"/>
        <v>949494201</v>
      </c>
      <c r="C39" s="14" t="str">
        <f t="shared" si="2"/>
        <v>9494201</v>
      </c>
      <c r="D39" s="15">
        <v>9.49494201E8</v>
      </c>
      <c r="E39" s="16">
        <v>9494201.0</v>
      </c>
    </row>
    <row r="40">
      <c r="A40" s="17">
        <v>6.71180518E8</v>
      </c>
      <c r="B40" s="17" t="str">
        <f t="shared" si="1"/>
        <v>671180518</v>
      </c>
      <c r="C40" s="14" t="str">
        <f t="shared" si="2"/>
        <v>1180518</v>
      </c>
      <c r="D40" s="15">
        <v>6.71180518E8</v>
      </c>
      <c r="E40" s="16">
        <v>1180518.0</v>
      </c>
    </row>
    <row r="41">
      <c r="A41" s="17">
        <v>5.07164943E8</v>
      </c>
      <c r="B41" s="17" t="str">
        <f t="shared" si="1"/>
        <v>507164943</v>
      </c>
      <c r="C41" s="14" t="str">
        <f t="shared" si="2"/>
        <v>7164943</v>
      </c>
      <c r="D41" s="15">
        <v>5.07164943E8</v>
      </c>
      <c r="E41" s="16">
        <v>7164943.0</v>
      </c>
    </row>
    <row r="42">
      <c r="A42" s="17">
        <v>6.74858966E8</v>
      </c>
      <c r="B42" s="17" t="str">
        <f t="shared" si="1"/>
        <v>674858966</v>
      </c>
      <c r="C42" s="14" t="str">
        <f t="shared" si="2"/>
        <v>4858966</v>
      </c>
      <c r="D42" s="15">
        <v>6.74858966E8</v>
      </c>
      <c r="E42" s="16">
        <v>4858966.0</v>
      </c>
    </row>
    <row r="43">
      <c r="A43" s="20" t="s">
        <v>154</v>
      </c>
      <c r="B43" s="17" t="str">
        <f t="shared" si="1"/>
        <v>667375097</v>
      </c>
      <c r="C43" s="14" t="str">
        <f t="shared" si="2"/>
        <v>7375097</v>
      </c>
      <c r="D43" s="15">
        <v>6.67375097E8</v>
      </c>
      <c r="E43" s="16">
        <v>7375097.0</v>
      </c>
    </row>
    <row r="44">
      <c r="A44" s="17">
        <v>5.09763553E8</v>
      </c>
      <c r="B44" s="17" t="str">
        <f t="shared" si="1"/>
        <v>509763553</v>
      </c>
      <c r="C44" s="14" t="str">
        <f t="shared" si="2"/>
        <v>9763553</v>
      </c>
      <c r="D44" s="15">
        <v>5.09763553E8</v>
      </c>
      <c r="E44" s="16">
        <v>9763553.0</v>
      </c>
    </row>
    <row r="45">
      <c r="A45" s="20" t="s">
        <v>160</v>
      </c>
      <c r="B45" s="17" t="str">
        <f t="shared" si="1"/>
        <v>72-32-702</v>
      </c>
      <c r="C45" s="14" t="str">
        <f t="shared" si="2"/>
        <v>-32-702</v>
      </c>
      <c r="D45" s="15" t="s">
        <v>162</v>
      </c>
      <c r="E45" s="16" t="s">
        <v>163</v>
      </c>
    </row>
    <row r="46">
      <c r="A46" s="17">
        <v>9.80865611E8</v>
      </c>
      <c r="B46" s="17" t="str">
        <f t="shared" si="1"/>
        <v>980865611</v>
      </c>
      <c r="C46" s="14" t="str">
        <f t="shared" si="2"/>
        <v>0865611</v>
      </c>
      <c r="D46" s="15">
        <v>9.80865611E8</v>
      </c>
      <c r="E46" s="16">
        <v>865611.0</v>
      </c>
    </row>
    <row r="47">
      <c r="A47" s="20" t="s">
        <v>166</v>
      </c>
      <c r="B47" s="17" t="str">
        <f t="shared" si="1"/>
        <v>561-13-05</v>
      </c>
      <c r="C47" s="14" t="str">
        <f t="shared" si="2"/>
        <v>1-13-05</v>
      </c>
      <c r="D47" s="15" t="s">
        <v>168</v>
      </c>
      <c r="E47" s="16" t="s">
        <v>169</v>
      </c>
    </row>
    <row r="48">
      <c r="A48" s="20" t="s">
        <v>170</v>
      </c>
      <c r="B48" s="17" t="str">
        <f t="shared" si="1"/>
        <v>979756732</v>
      </c>
      <c r="C48" s="14" t="str">
        <f t="shared" si="2"/>
        <v>9756732</v>
      </c>
      <c r="D48" s="15">
        <v>9.79756732E8</v>
      </c>
      <c r="E48" s="16">
        <v>9756732.0</v>
      </c>
    </row>
    <row r="49">
      <c r="A49" s="17">
        <v>9.4996419E8</v>
      </c>
      <c r="B49" s="17" t="str">
        <f t="shared" si="1"/>
        <v>949964190</v>
      </c>
      <c r="C49" s="14" t="str">
        <f t="shared" si="2"/>
        <v>9964190</v>
      </c>
      <c r="D49" s="15">
        <v>9.4996419E8</v>
      </c>
      <c r="E49" s="16">
        <v>9964190.0</v>
      </c>
    </row>
    <row r="50">
      <c r="A50" s="17">
        <v>6.78800416E8</v>
      </c>
      <c r="B50" s="17" t="str">
        <f t="shared" si="1"/>
        <v>678800416</v>
      </c>
      <c r="C50" s="14" t="str">
        <f t="shared" si="2"/>
        <v>8800416</v>
      </c>
      <c r="D50" s="15">
        <v>6.78800416E8</v>
      </c>
      <c r="E50" s="16">
        <v>8800416.0</v>
      </c>
    </row>
    <row r="51">
      <c r="A51" s="17">
        <v>5.03956665E8</v>
      </c>
      <c r="B51" s="17" t="str">
        <f t="shared" si="1"/>
        <v>503956665</v>
      </c>
      <c r="C51" s="14" t="str">
        <f t="shared" si="2"/>
        <v>3956665</v>
      </c>
      <c r="D51" s="15">
        <v>5.03956665E8</v>
      </c>
      <c r="E51" s="16">
        <v>3956665.0</v>
      </c>
    </row>
    <row r="52">
      <c r="A52" s="20" t="s">
        <v>176</v>
      </c>
      <c r="B52" s="17" t="str">
        <f t="shared" si="1"/>
        <v>674894869</v>
      </c>
      <c r="C52" s="14" t="str">
        <f t="shared" si="2"/>
        <v>4894869</v>
      </c>
      <c r="D52" s="15">
        <v>6.74894869E8</v>
      </c>
      <c r="E52" s="16">
        <v>4894869.0</v>
      </c>
    </row>
    <row r="53">
      <c r="A53" s="20" t="s">
        <v>178</v>
      </c>
      <c r="B53" s="17" t="str">
        <f t="shared" si="1"/>
        <v>648-2-648</v>
      </c>
      <c r="C53" s="14" t="str">
        <f t="shared" si="2"/>
        <v>8-2-648</v>
      </c>
      <c r="D53" s="15" t="s">
        <v>181</v>
      </c>
      <c r="E53" s="16">
        <v>-457244.0</v>
      </c>
    </row>
    <row r="54">
      <c r="A54" s="17">
        <v>6.3183541E8</v>
      </c>
      <c r="B54" s="17" t="str">
        <f t="shared" si="1"/>
        <v>631835410</v>
      </c>
      <c r="C54" s="14" t="str">
        <f t="shared" si="2"/>
        <v>1835410</v>
      </c>
      <c r="D54" s="15">
        <v>6.3183541E8</v>
      </c>
      <c r="E54" s="16">
        <v>1835410.0</v>
      </c>
    </row>
    <row r="55">
      <c r="A55" s="17">
        <v>9.49480565E8</v>
      </c>
      <c r="B55" s="17" t="str">
        <f t="shared" si="1"/>
        <v>949480565</v>
      </c>
      <c r="C55" s="14" t="str">
        <f t="shared" si="2"/>
        <v>9480565</v>
      </c>
      <c r="D55" s="15">
        <v>9.49480565E8</v>
      </c>
      <c r="E55" s="16">
        <v>9480565.0</v>
      </c>
    </row>
    <row r="56">
      <c r="A56" s="17">
        <v>3.80680473797E11</v>
      </c>
      <c r="B56" s="17" t="str">
        <f t="shared" si="1"/>
        <v>680473797</v>
      </c>
      <c r="C56" s="14" t="str">
        <f t="shared" si="2"/>
        <v>0473797</v>
      </c>
      <c r="D56" s="15">
        <v>6.80473797E8</v>
      </c>
      <c r="E56" s="16">
        <v>473797.0</v>
      </c>
    </row>
    <row r="57">
      <c r="A57" s="17">
        <v>6.72691606E8</v>
      </c>
      <c r="B57" s="17" t="str">
        <f t="shared" si="1"/>
        <v>672691606</v>
      </c>
      <c r="C57" s="14" t="str">
        <f t="shared" si="2"/>
        <v>2691606</v>
      </c>
      <c r="D57" s="15">
        <v>6.72691606E8</v>
      </c>
      <c r="E57" s="16">
        <v>2691606.0</v>
      </c>
    </row>
    <row r="58">
      <c r="A58" s="17">
        <v>9.67884919E8</v>
      </c>
      <c r="B58" s="17" t="str">
        <f t="shared" si="1"/>
        <v>967884919</v>
      </c>
      <c r="C58" s="14" t="str">
        <f t="shared" si="2"/>
        <v>7884919</v>
      </c>
      <c r="D58" s="15">
        <v>9.67884919E8</v>
      </c>
      <c r="E58" s="16">
        <v>7884919.0</v>
      </c>
    </row>
    <row r="59">
      <c r="A59" s="17">
        <v>9.67265893E8</v>
      </c>
      <c r="B59" s="17" t="str">
        <f t="shared" si="1"/>
        <v>967265893</v>
      </c>
      <c r="C59" s="14" t="str">
        <f t="shared" si="2"/>
        <v>7265893</v>
      </c>
      <c r="D59" s="15">
        <v>9.67265893E8</v>
      </c>
      <c r="E59" s="16">
        <v>7265893.0</v>
      </c>
    </row>
    <row r="60">
      <c r="A60" s="20" t="s">
        <v>193</v>
      </c>
      <c r="B60" s="17" t="str">
        <f t="shared" si="1"/>
        <v>360-37-97</v>
      </c>
      <c r="C60" s="14" t="str">
        <f t="shared" si="2"/>
        <v>0-37-97</v>
      </c>
      <c r="D60" s="15" t="s">
        <v>195</v>
      </c>
      <c r="E60" s="16" t="s">
        <v>196</v>
      </c>
    </row>
    <row r="61">
      <c r="A61" s="17">
        <v>9.37741071E8</v>
      </c>
      <c r="B61" s="17" t="str">
        <f t="shared" si="1"/>
        <v>937741071</v>
      </c>
      <c r="C61" s="14" t="str">
        <f t="shared" si="2"/>
        <v>7741071</v>
      </c>
      <c r="D61" s="15">
        <v>9.37741071E8</v>
      </c>
      <c r="E61" s="16">
        <v>7741071.0</v>
      </c>
    </row>
    <row r="62">
      <c r="A62" s="17">
        <v>6.74862743E8</v>
      </c>
      <c r="B62" s="17" t="str">
        <f t="shared" si="1"/>
        <v>674862743</v>
      </c>
      <c r="C62" s="14" t="str">
        <f t="shared" si="2"/>
        <v>4862743</v>
      </c>
      <c r="D62" s="15">
        <v>6.74862743E8</v>
      </c>
      <c r="E62" s="16">
        <v>4862743.0</v>
      </c>
    </row>
    <row r="63">
      <c r="A63" s="17">
        <v>9.72839081E8</v>
      </c>
      <c r="B63" s="17" t="str">
        <f t="shared" si="1"/>
        <v>972839081</v>
      </c>
      <c r="C63" s="14" t="str">
        <f t="shared" si="2"/>
        <v>2839081</v>
      </c>
      <c r="D63" s="15">
        <v>9.72839081E8</v>
      </c>
      <c r="E63" s="16">
        <v>2839081.0</v>
      </c>
    </row>
    <row r="64">
      <c r="A64" s="17">
        <v>6.7481037E8</v>
      </c>
      <c r="B64" s="17" t="str">
        <f t="shared" si="1"/>
        <v>674810370</v>
      </c>
      <c r="C64" s="14" t="str">
        <f t="shared" si="2"/>
        <v>4810370</v>
      </c>
      <c r="D64" s="15">
        <v>6.7481037E8</v>
      </c>
      <c r="E64" s="16">
        <v>4810370.0</v>
      </c>
    </row>
    <row r="65">
      <c r="A65" s="17">
        <v>6.3122809E8</v>
      </c>
      <c r="B65" s="17" t="str">
        <f t="shared" si="1"/>
        <v>631228090</v>
      </c>
      <c r="C65" s="14" t="str">
        <f t="shared" si="2"/>
        <v>1228090</v>
      </c>
      <c r="D65" s="15">
        <v>6.3122809E8</v>
      </c>
      <c r="E65" s="16">
        <v>1228090.0</v>
      </c>
    </row>
    <row r="66">
      <c r="A66" s="20" t="s">
        <v>209</v>
      </c>
      <c r="B66" s="17" t="str">
        <f t="shared" si="1"/>
        <v>631228090</v>
      </c>
      <c r="C66" s="14" t="str">
        <f t="shared" si="2"/>
        <v>1228090</v>
      </c>
      <c r="D66" s="15">
        <v>6.3122809E8</v>
      </c>
      <c r="E66" s="16">
        <v>1228090.0</v>
      </c>
    </row>
    <row r="67">
      <c r="A67" s="17">
        <v>9.69131074E8</v>
      </c>
      <c r="B67" s="17" t="str">
        <f t="shared" si="1"/>
        <v>969131074</v>
      </c>
      <c r="C67" s="14" t="str">
        <f t="shared" si="2"/>
        <v>9131074</v>
      </c>
      <c r="D67" s="15">
        <v>9.69131074E8</v>
      </c>
      <c r="E67" s="16">
        <v>9131074.0</v>
      </c>
    </row>
    <row r="68">
      <c r="A68" s="17">
        <v>5.02353219E8</v>
      </c>
      <c r="B68" s="17" t="str">
        <f t="shared" si="1"/>
        <v>502353219</v>
      </c>
      <c r="C68" s="14" t="str">
        <f t="shared" si="2"/>
        <v>2353219</v>
      </c>
      <c r="D68" s="15">
        <v>5.02353219E8</v>
      </c>
      <c r="E68" s="16">
        <v>2353219.0</v>
      </c>
    </row>
    <row r="69">
      <c r="A69" s="20" t="s">
        <v>215</v>
      </c>
      <c r="B69" s="17" t="str">
        <f t="shared" si="1"/>
        <v>678897706</v>
      </c>
      <c r="C69" s="14" t="str">
        <f t="shared" si="2"/>
        <v>8897706</v>
      </c>
      <c r="D69" s="15">
        <v>6.78897706E8</v>
      </c>
      <c r="E69" s="16">
        <v>8897706.0</v>
      </c>
    </row>
    <row r="70">
      <c r="A70" s="20" t="s">
        <v>216</v>
      </c>
      <c r="B70" s="17" t="str">
        <f t="shared" si="1"/>
        <v>976512497</v>
      </c>
      <c r="C70" s="14" t="str">
        <f t="shared" si="2"/>
        <v>6512497</v>
      </c>
      <c r="D70" s="15">
        <v>9.76512497E8</v>
      </c>
      <c r="E70" s="16">
        <v>6512497.0</v>
      </c>
    </row>
    <row r="71">
      <c r="A71" s="20" t="s">
        <v>218</v>
      </c>
      <c r="B71" s="17" t="str">
        <f t="shared" si="1"/>
        <v>669643483</v>
      </c>
      <c r="C71" s="14" t="str">
        <f t="shared" si="2"/>
        <v>9643483</v>
      </c>
      <c r="D71" s="15">
        <v>6.69643483E8</v>
      </c>
      <c r="E71" s="16">
        <v>9643483.0</v>
      </c>
    </row>
    <row r="72">
      <c r="A72" s="17">
        <v>9.69790701E8</v>
      </c>
      <c r="B72" s="17" t="str">
        <f t="shared" si="1"/>
        <v>969790701</v>
      </c>
      <c r="C72" s="14" t="str">
        <f t="shared" si="2"/>
        <v>9790701</v>
      </c>
      <c r="D72" s="15">
        <v>9.69790701E8</v>
      </c>
      <c r="E72" s="16">
        <v>9790701.0</v>
      </c>
    </row>
    <row r="73">
      <c r="A73" s="17">
        <v>9.72280502E8</v>
      </c>
      <c r="B73" s="17" t="str">
        <f t="shared" si="1"/>
        <v>972280502</v>
      </c>
      <c r="C73" s="14" t="str">
        <f t="shared" si="2"/>
        <v>2280502</v>
      </c>
      <c r="D73" s="15">
        <v>9.72280502E8</v>
      </c>
      <c r="E73" s="16">
        <v>2280502.0</v>
      </c>
    </row>
    <row r="74">
      <c r="A74" s="17">
        <v>9.73751882E8</v>
      </c>
      <c r="B74" s="17" t="str">
        <f t="shared" si="1"/>
        <v>973751882</v>
      </c>
      <c r="C74" s="14" t="str">
        <f t="shared" si="2"/>
        <v>3751882</v>
      </c>
      <c r="D74" s="15">
        <v>9.73751882E8</v>
      </c>
      <c r="E74" s="16">
        <v>3751882.0</v>
      </c>
    </row>
    <row r="75">
      <c r="A75" s="20" t="s">
        <v>224</v>
      </c>
      <c r="B75" s="17" t="str">
        <f t="shared" si="1"/>
        <v>630494590</v>
      </c>
      <c r="C75" s="14" t="str">
        <f t="shared" si="2"/>
        <v>0494590</v>
      </c>
      <c r="D75" s="15">
        <v>6.3049459E8</v>
      </c>
      <c r="E75" s="16">
        <v>494590.0</v>
      </c>
    </row>
    <row r="76">
      <c r="A76" s="20" t="s">
        <v>225</v>
      </c>
      <c r="B76" s="17" t="str">
        <f t="shared" si="1"/>
        <v>504154059</v>
      </c>
      <c r="C76" s="14" t="str">
        <f t="shared" si="2"/>
        <v>4154059</v>
      </c>
      <c r="D76" s="15">
        <v>5.04154059E8</v>
      </c>
      <c r="E76" s="16">
        <v>4154059.0</v>
      </c>
    </row>
    <row r="77">
      <c r="A77" s="17">
        <v>6.7271023E8</v>
      </c>
      <c r="B77" s="17" t="str">
        <f t="shared" si="1"/>
        <v>672710230</v>
      </c>
      <c r="C77" s="14" t="str">
        <f t="shared" si="2"/>
        <v>2710230</v>
      </c>
      <c r="D77" s="15">
        <v>6.7271023E8</v>
      </c>
      <c r="E77" s="16">
        <v>2710230.0</v>
      </c>
    </row>
    <row r="78">
      <c r="A78" s="17">
        <v>5.03160577E8</v>
      </c>
      <c r="B78" s="17" t="str">
        <f t="shared" si="1"/>
        <v>503160577</v>
      </c>
      <c r="C78" s="14" t="str">
        <f t="shared" si="2"/>
        <v>3160577</v>
      </c>
      <c r="D78" s="15">
        <v>5.03160577E8</v>
      </c>
      <c r="E78" s="16">
        <v>3160577.0</v>
      </c>
    </row>
    <row r="79">
      <c r="A79" s="17">
        <v>5.0490241E8</v>
      </c>
      <c r="B79" s="17" t="str">
        <f t="shared" si="1"/>
        <v>504902410</v>
      </c>
      <c r="C79" s="14" t="str">
        <f t="shared" si="2"/>
        <v>4902410</v>
      </c>
      <c r="D79" s="15">
        <v>5.0490241E8</v>
      </c>
      <c r="E79" s="16">
        <v>4902410.0</v>
      </c>
    </row>
    <row r="80">
      <c r="A80" s="17">
        <v>9.66381157E8</v>
      </c>
      <c r="B80" s="17" t="str">
        <f t="shared" si="1"/>
        <v>966381157</v>
      </c>
      <c r="C80" s="14" t="str">
        <f t="shared" si="2"/>
        <v>6381157</v>
      </c>
      <c r="D80" s="15">
        <v>9.66381157E8</v>
      </c>
      <c r="E80" s="16">
        <v>6381157.0</v>
      </c>
    </row>
    <row r="81">
      <c r="A81" s="17">
        <v>6.74850341E8</v>
      </c>
      <c r="B81" s="17" t="str">
        <f t="shared" si="1"/>
        <v>674850341</v>
      </c>
      <c r="C81" s="14" t="str">
        <f t="shared" si="2"/>
        <v>4850341</v>
      </c>
      <c r="D81" s="15">
        <v>6.74850341E8</v>
      </c>
      <c r="E81" s="16">
        <v>4850341.0</v>
      </c>
    </row>
    <row r="82">
      <c r="A82" s="20" t="s">
        <v>240</v>
      </c>
      <c r="B82" s="17" t="str">
        <f t="shared" si="1"/>
        <v>501461917</v>
      </c>
      <c r="C82" s="14" t="str">
        <f t="shared" si="2"/>
        <v>1461917</v>
      </c>
      <c r="D82" s="15">
        <v>5.01461917E8</v>
      </c>
      <c r="E82" s="16">
        <v>1461917.0</v>
      </c>
    </row>
    <row r="83">
      <c r="A83" s="17">
        <v>6.6651664E8</v>
      </c>
      <c r="B83" s="17" t="str">
        <f t="shared" si="1"/>
        <v>666516640</v>
      </c>
      <c r="C83" s="14" t="str">
        <f t="shared" si="2"/>
        <v>6516640</v>
      </c>
      <c r="D83" s="15">
        <v>6.6651664E8</v>
      </c>
      <c r="E83" s="16">
        <v>6516640.0</v>
      </c>
    </row>
    <row r="84">
      <c r="A84" s="20" t="s">
        <v>241</v>
      </c>
      <c r="B84" s="17" t="str">
        <f t="shared" si="1"/>
        <v>505075418</v>
      </c>
      <c r="C84" s="14" t="str">
        <f t="shared" si="2"/>
        <v>5075418</v>
      </c>
      <c r="D84" s="15">
        <v>5.05075418E8</v>
      </c>
      <c r="E84" s="16">
        <v>5075418.0</v>
      </c>
    </row>
    <row r="85">
      <c r="A85" s="17">
        <v>9.35299201E8</v>
      </c>
      <c r="B85" s="17" t="str">
        <f t="shared" si="1"/>
        <v>935299201</v>
      </c>
      <c r="C85" s="14" t="str">
        <f t="shared" si="2"/>
        <v>5299201</v>
      </c>
      <c r="D85" s="15">
        <v>9.35299201E8</v>
      </c>
      <c r="E85" s="16">
        <v>5299201.0</v>
      </c>
    </row>
    <row r="86">
      <c r="A86" s="20" t="s">
        <v>242</v>
      </c>
      <c r="B86" s="17" t="str">
        <f t="shared" si="1"/>
        <v>680023504</v>
      </c>
      <c r="C86" s="14" t="str">
        <f t="shared" si="2"/>
        <v>0023504</v>
      </c>
      <c r="D86" s="15">
        <v>6.80023504E8</v>
      </c>
      <c r="E86" s="16">
        <v>23504.0</v>
      </c>
    </row>
    <row r="87">
      <c r="A87" s="20" t="s">
        <v>243</v>
      </c>
      <c r="B87" s="17" t="str">
        <f t="shared" si="1"/>
        <v>958541298</v>
      </c>
      <c r="C87" s="14" t="str">
        <f t="shared" si="2"/>
        <v>8541298</v>
      </c>
      <c r="D87" s="15">
        <v>9.58541298E8</v>
      </c>
      <c r="E87" s="16">
        <v>8541298.0</v>
      </c>
    </row>
    <row r="88">
      <c r="A88" s="17">
        <v>3.80676099308E11</v>
      </c>
      <c r="B88" s="17" t="str">
        <f t="shared" si="1"/>
        <v>676099308</v>
      </c>
      <c r="C88" s="14" t="str">
        <f t="shared" si="2"/>
        <v>6099308</v>
      </c>
      <c r="D88" s="15">
        <v>6.76099308E8</v>
      </c>
      <c r="E88" s="16">
        <v>6099308.0</v>
      </c>
    </row>
    <row r="89">
      <c r="A89" s="17">
        <v>6.72713602E8</v>
      </c>
      <c r="B89" s="17" t="str">
        <f t="shared" si="1"/>
        <v>672713602</v>
      </c>
      <c r="C89" s="14" t="str">
        <f t="shared" si="2"/>
        <v>2713602</v>
      </c>
      <c r="D89" s="15">
        <v>6.72713602E8</v>
      </c>
      <c r="E89" s="16">
        <v>2713602.0</v>
      </c>
    </row>
    <row r="90">
      <c r="A90" s="20" t="s">
        <v>248</v>
      </c>
      <c r="B90" s="17" t="str">
        <f t="shared" si="1"/>
        <v>965001790</v>
      </c>
      <c r="C90" s="14" t="str">
        <f t="shared" si="2"/>
        <v>5001790</v>
      </c>
      <c r="D90" s="15">
        <v>9.6500179E8</v>
      </c>
      <c r="E90" s="16">
        <v>5001790.0</v>
      </c>
    </row>
    <row r="91">
      <c r="A91" s="20" t="s">
        <v>250</v>
      </c>
      <c r="B91" s="17" t="str">
        <f t="shared" si="1"/>
        <v>755-99-02</v>
      </c>
      <c r="C91" s="14" t="str">
        <f t="shared" si="2"/>
        <v>5-99-02</v>
      </c>
      <c r="D91" s="15" t="s">
        <v>252</v>
      </c>
      <c r="E91" s="16" t="s">
        <v>253</v>
      </c>
    </row>
    <row r="92">
      <c r="A92" s="17">
        <v>9.76463984E8</v>
      </c>
      <c r="B92" s="17" t="str">
        <f t="shared" si="1"/>
        <v>976463984</v>
      </c>
      <c r="C92" s="14" t="str">
        <f t="shared" si="2"/>
        <v>6463984</v>
      </c>
      <c r="D92" s="15">
        <v>9.76463984E8</v>
      </c>
      <c r="E92" s="16">
        <v>6463984.0</v>
      </c>
    </row>
    <row r="93">
      <c r="A93" s="17">
        <v>9.73131789E8</v>
      </c>
      <c r="B93" s="17" t="str">
        <f t="shared" si="1"/>
        <v>973131789</v>
      </c>
      <c r="C93" s="14" t="str">
        <f t="shared" si="2"/>
        <v>3131789</v>
      </c>
      <c r="D93" s="15">
        <v>9.73131789E8</v>
      </c>
      <c r="E93" s="16">
        <v>3131789.0</v>
      </c>
    </row>
    <row r="94">
      <c r="A94" s="17">
        <v>9.71466009E8</v>
      </c>
      <c r="B94" s="17" t="str">
        <f t="shared" si="1"/>
        <v>971466009</v>
      </c>
      <c r="C94" s="14" t="str">
        <f t="shared" si="2"/>
        <v>1466009</v>
      </c>
      <c r="D94" s="15">
        <v>9.71466009E8</v>
      </c>
      <c r="E94" s="16">
        <v>1466009.0</v>
      </c>
    </row>
    <row r="95">
      <c r="C95" s="14"/>
      <c r="D95" s="15"/>
      <c r="E95" s="16"/>
    </row>
    <row r="96">
      <c r="C96" s="14"/>
      <c r="D96" s="15"/>
      <c r="E96" s="16"/>
    </row>
    <row r="97">
      <c r="C97" s="14"/>
      <c r="D97" s="15"/>
      <c r="E97" s="16"/>
    </row>
    <row r="98">
      <c r="C98" s="14"/>
      <c r="D98" s="15"/>
      <c r="E98" s="16"/>
    </row>
    <row r="99">
      <c r="C99" s="14"/>
      <c r="D99" s="15"/>
      <c r="E99" s="16"/>
    </row>
    <row r="100">
      <c r="C100" s="14"/>
      <c r="D100" s="15"/>
      <c r="E100" s="16"/>
    </row>
    <row r="101">
      <c r="C101" s="14"/>
      <c r="D101" s="15"/>
      <c r="E101" s="16"/>
    </row>
    <row r="102">
      <c r="C102" s="14"/>
      <c r="D102" s="15"/>
      <c r="E102" s="16"/>
    </row>
    <row r="103">
      <c r="C103" s="14"/>
      <c r="D103" s="15"/>
      <c r="E103" s="16"/>
    </row>
    <row r="104">
      <c r="C104" s="14"/>
      <c r="D104" s="15"/>
      <c r="E104" s="16"/>
    </row>
    <row r="105">
      <c r="A105" s="11"/>
      <c r="B105" s="20"/>
      <c r="C105" s="14"/>
      <c r="D105" s="15"/>
      <c r="E105" s="16"/>
    </row>
    <row r="106">
      <c r="A106" s="11"/>
      <c r="B106" s="20"/>
      <c r="C106" s="14"/>
      <c r="D106" s="15"/>
      <c r="E106" s="16"/>
    </row>
    <row r="107">
      <c r="A107" s="11"/>
      <c r="B107" s="20"/>
      <c r="C107" s="14"/>
      <c r="D107" s="15"/>
      <c r="E107" s="16"/>
    </row>
    <row r="108">
      <c r="A108" s="11"/>
      <c r="B108" s="20"/>
      <c r="C108" s="14"/>
      <c r="D108" s="15"/>
      <c r="E108" s="16"/>
    </row>
    <row r="109">
      <c r="A109" s="11"/>
      <c r="B109" s="20"/>
      <c r="C109" s="14"/>
      <c r="D109" s="15"/>
      <c r="E109" s="16"/>
    </row>
    <row r="110">
      <c r="A110" s="11"/>
      <c r="B110" s="20"/>
      <c r="C110" s="14"/>
      <c r="D110" s="15"/>
      <c r="E110" s="16"/>
    </row>
    <row r="111">
      <c r="A111" s="11"/>
      <c r="B111" s="20"/>
      <c r="C111" s="14"/>
      <c r="D111" s="15"/>
      <c r="E111" s="16"/>
    </row>
    <row r="112">
      <c r="A112" s="11"/>
      <c r="B112" s="20"/>
      <c r="C112" s="14"/>
      <c r="D112" s="15"/>
      <c r="E112" s="16"/>
    </row>
    <row r="113">
      <c r="A113" s="11"/>
      <c r="B113" s="20"/>
      <c r="C113" s="14"/>
      <c r="D113" s="15"/>
      <c r="E113" s="16"/>
    </row>
    <row r="114">
      <c r="A114" s="11"/>
      <c r="B114" s="20"/>
      <c r="C114" s="14"/>
      <c r="D114" s="15"/>
      <c r="E114" s="16"/>
    </row>
    <row r="115">
      <c r="A115" s="11"/>
      <c r="B115" s="20"/>
      <c r="C115" s="14"/>
      <c r="D115" s="15"/>
      <c r="E115" s="16"/>
    </row>
    <row r="116">
      <c r="A116" s="11"/>
      <c r="B116" s="20"/>
      <c r="C116" s="14"/>
      <c r="D116" s="15"/>
      <c r="E116" s="16"/>
    </row>
    <row r="117">
      <c r="A117" s="11"/>
      <c r="B117" s="20"/>
      <c r="C117" s="14"/>
      <c r="D117" s="15"/>
      <c r="E117" s="16"/>
    </row>
    <row r="118">
      <c r="A118" s="11"/>
      <c r="B118" s="20"/>
      <c r="C118" s="14"/>
      <c r="D118" s="15"/>
      <c r="E118" s="16"/>
    </row>
    <row r="119">
      <c r="A119" s="11"/>
      <c r="B119" s="20"/>
      <c r="C119" s="14"/>
      <c r="D119" s="15"/>
      <c r="E119" s="16"/>
    </row>
    <row r="120">
      <c r="A120" s="11"/>
      <c r="B120" s="20"/>
      <c r="C120" s="14"/>
      <c r="D120" s="15"/>
      <c r="E120" s="16"/>
    </row>
    <row r="121">
      <c r="A121" s="11"/>
      <c r="B121" s="20"/>
      <c r="C121" s="14"/>
      <c r="D121" s="15"/>
      <c r="E121" s="16"/>
    </row>
    <row r="122">
      <c r="A122" s="11"/>
      <c r="B122" s="20"/>
      <c r="C122" s="14"/>
      <c r="D122" s="15"/>
      <c r="E122" s="16"/>
    </row>
    <row r="123">
      <c r="A123" s="11"/>
      <c r="B123" s="20"/>
      <c r="C123" s="14"/>
      <c r="D123" s="15"/>
      <c r="E123" s="16"/>
    </row>
    <row r="124">
      <c r="A124" s="11"/>
      <c r="B124" s="20"/>
      <c r="C124" s="14"/>
      <c r="D124" s="15"/>
      <c r="E124" s="16"/>
    </row>
    <row r="125">
      <c r="A125" s="11"/>
      <c r="B125" s="20"/>
      <c r="C125" s="14"/>
      <c r="D125" s="15"/>
      <c r="E125" s="16"/>
    </row>
    <row r="126">
      <c r="A126" s="11"/>
      <c r="B126" s="20"/>
      <c r="C126" s="14"/>
      <c r="D126" s="15"/>
      <c r="E126" s="16"/>
    </row>
    <row r="127">
      <c r="A127" s="11"/>
      <c r="B127" s="20"/>
      <c r="C127" s="14"/>
      <c r="D127" s="15"/>
      <c r="E127" s="16"/>
    </row>
    <row r="128">
      <c r="A128" s="11"/>
      <c r="B128" s="20"/>
      <c r="C128" s="14"/>
      <c r="D128" s="15"/>
      <c r="E128" s="16"/>
    </row>
    <row r="129">
      <c r="A129" s="11"/>
      <c r="B129" s="20"/>
      <c r="C129" s="14"/>
      <c r="D129" s="15"/>
      <c r="E129" s="16"/>
    </row>
    <row r="130">
      <c r="A130" s="11"/>
      <c r="B130" s="20"/>
      <c r="C130" s="14"/>
      <c r="D130" s="15"/>
      <c r="E130" s="16"/>
    </row>
    <row r="131">
      <c r="A131" s="11"/>
      <c r="B131" s="20"/>
      <c r="C131" s="14"/>
      <c r="D131" s="15"/>
      <c r="E131" s="16"/>
    </row>
    <row r="132">
      <c r="A132" s="11"/>
      <c r="B132" s="20"/>
      <c r="C132" s="14"/>
      <c r="D132" s="15"/>
      <c r="E132" s="16"/>
    </row>
    <row r="133">
      <c r="A133" s="11"/>
      <c r="B133" s="20"/>
      <c r="C133" s="14"/>
      <c r="D133" s="15"/>
      <c r="E133" s="16"/>
    </row>
    <row r="134">
      <c r="A134" s="11"/>
      <c r="B134" s="20"/>
      <c r="C134" s="14"/>
      <c r="D134" s="15"/>
      <c r="E134" s="16"/>
    </row>
    <row r="135">
      <c r="A135" s="11"/>
      <c r="B135" s="20"/>
      <c r="C135" s="14"/>
      <c r="D135" s="15"/>
      <c r="E135" s="16"/>
    </row>
    <row r="136">
      <c r="A136" s="11"/>
      <c r="B136" s="20"/>
      <c r="C136" s="14"/>
      <c r="D136" s="15"/>
      <c r="E136" s="16"/>
    </row>
    <row r="137">
      <c r="A137" s="11"/>
      <c r="B137" s="20"/>
      <c r="C137" s="14"/>
      <c r="D137" s="15"/>
      <c r="E137" s="16"/>
    </row>
    <row r="138">
      <c r="A138" s="11"/>
      <c r="B138" s="20"/>
      <c r="C138" s="14"/>
      <c r="D138" s="15"/>
      <c r="E138" s="16"/>
    </row>
    <row r="139">
      <c r="A139" s="11"/>
      <c r="B139" s="20"/>
      <c r="C139" s="14"/>
      <c r="D139" s="15"/>
      <c r="E139" s="16"/>
    </row>
    <row r="140">
      <c r="A140" s="11"/>
      <c r="B140" s="20"/>
      <c r="C140" s="14"/>
      <c r="D140" s="15"/>
      <c r="E140" s="16"/>
    </row>
    <row r="141">
      <c r="A141" s="11"/>
      <c r="B141" s="20"/>
      <c r="C141" s="14"/>
      <c r="D141" s="15"/>
      <c r="E141" s="16"/>
    </row>
    <row r="142">
      <c r="A142" s="11"/>
      <c r="B142" s="20"/>
      <c r="C142" s="14"/>
      <c r="D142" s="15"/>
      <c r="E142" s="16"/>
    </row>
    <row r="143">
      <c r="A143" s="11"/>
      <c r="B143" s="20"/>
      <c r="C143" s="14"/>
      <c r="D143" s="15"/>
      <c r="E143" s="16"/>
    </row>
    <row r="144">
      <c r="A144" s="11"/>
      <c r="B144" s="20"/>
      <c r="C144" s="14"/>
      <c r="D144" s="15"/>
      <c r="E144" s="16"/>
    </row>
    <row r="145">
      <c r="A145" s="11"/>
      <c r="B145" s="20"/>
      <c r="C145" s="14"/>
      <c r="D145" s="15"/>
      <c r="E145" s="16"/>
    </row>
    <row r="146">
      <c r="A146" s="11"/>
      <c r="B146" s="20"/>
      <c r="C146" s="14"/>
      <c r="D146" s="15"/>
      <c r="E146" s="16"/>
    </row>
    <row r="147">
      <c r="A147" s="11"/>
      <c r="B147" s="20"/>
      <c r="C147" s="14"/>
      <c r="D147" s="15"/>
      <c r="E147" s="16"/>
    </row>
    <row r="148">
      <c r="A148" s="11"/>
      <c r="B148" s="20"/>
      <c r="C148" s="14"/>
      <c r="D148" s="15"/>
      <c r="E148" s="16"/>
    </row>
    <row r="149">
      <c r="A149" s="11"/>
      <c r="B149" s="20"/>
      <c r="C149" s="14"/>
      <c r="D149" s="15"/>
      <c r="E149" s="16"/>
    </row>
    <row r="150">
      <c r="A150" s="11"/>
      <c r="B150" s="20"/>
      <c r="C150" s="14"/>
      <c r="D150" s="15"/>
      <c r="E150" s="16"/>
    </row>
    <row r="151">
      <c r="A151" s="11"/>
      <c r="B151" s="20"/>
      <c r="C151" s="14"/>
      <c r="D151" s="15"/>
      <c r="E151" s="16"/>
    </row>
    <row r="152">
      <c r="A152" s="11"/>
      <c r="B152" s="20"/>
      <c r="C152" s="14"/>
      <c r="D152" s="15"/>
      <c r="E152" s="16"/>
    </row>
    <row r="153">
      <c r="A153" s="11"/>
      <c r="B153" s="20"/>
      <c r="C153" s="14"/>
      <c r="D153" s="15"/>
      <c r="E153" s="16"/>
    </row>
    <row r="154">
      <c r="A154" s="11"/>
      <c r="B154" s="20"/>
      <c r="C154" s="14"/>
      <c r="D154" s="15"/>
      <c r="E154" s="16"/>
    </row>
    <row r="155">
      <c r="A155" s="11"/>
      <c r="B155" s="20"/>
      <c r="C155" s="14"/>
      <c r="D155" s="15"/>
      <c r="E155" s="16"/>
    </row>
    <row r="156">
      <c r="A156" s="11"/>
      <c r="B156" s="20"/>
      <c r="C156" s="14"/>
      <c r="D156" s="15"/>
      <c r="E156" s="16"/>
    </row>
    <row r="157">
      <c r="A157" s="11"/>
      <c r="B157" s="20"/>
      <c r="C157" s="14"/>
      <c r="D157" s="15"/>
      <c r="E157" s="16"/>
    </row>
    <row r="158">
      <c r="A158" s="11"/>
      <c r="B158" s="20"/>
      <c r="C158" s="14"/>
      <c r="D158" s="15"/>
      <c r="E158" s="16"/>
    </row>
    <row r="159">
      <c r="A159" s="11"/>
      <c r="B159" s="20"/>
      <c r="C159" s="14"/>
      <c r="D159" s="15"/>
      <c r="E159" s="16"/>
    </row>
    <row r="160">
      <c r="A160" s="11"/>
      <c r="B160" s="20"/>
      <c r="C160" s="14"/>
      <c r="D160" s="15"/>
      <c r="E160" s="16"/>
    </row>
    <row r="161">
      <c r="A161" s="11"/>
      <c r="B161" s="20"/>
      <c r="C161" s="14"/>
      <c r="D161" s="15"/>
      <c r="E161" s="16"/>
    </row>
    <row r="162">
      <c r="A162" s="11"/>
      <c r="B162" s="20"/>
      <c r="C162" s="14"/>
      <c r="D162" s="15"/>
      <c r="E162" s="16"/>
    </row>
    <row r="163">
      <c r="A163" s="11"/>
      <c r="B163" s="20"/>
      <c r="C163" s="14"/>
      <c r="D163" s="15"/>
      <c r="E163" s="16"/>
    </row>
    <row r="164">
      <c r="A164" s="11"/>
      <c r="B164" s="20"/>
      <c r="C164" s="14"/>
      <c r="D164" s="15"/>
      <c r="E164" s="16"/>
    </row>
    <row r="165">
      <c r="A165" s="11"/>
      <c r="B165" s="20"/>
      <c r="C165" s="14"/>
      <c r="D165" s="15"/>
      <c r="E165" s="16"/>
    </row>
    <row r="166">
      <c r="A166" s="11"/>
      <c r="B166" s="20"/>
      <c r="C166" s="14"/>
      <c r="D166" s="15"/>
      <c r="E166" s="16"/>
    </row>
    <row r="167">
      <c r="A167" s="11"/>
      <c r="B167" s="20"/>
      <c r="C167" s="14"/>
      <c r="D167" s="15"/>
      <c r="E167" s="16"/>
    </row>
    <row r="168">
      <c r="A168" s="11"/>
      <c r="B168" s="20"/>
      <c r="C168" s="14"/>
      <c r="D168" s="15"/>
      <c r="E168" s="16"/>
    </row>
    <row r="169">
      <c r="A169" s="11"/>
      <c r="B169" s="20"/>
      <c r="C169" s="14"/>
      <c r="D169" s="15"/>
      <c r="E169" s="16"/>
    </row>
    <row r="170">
      <c r="A170" s="11"/>
      <c r="B170" s="20"/>
      <c r="C170" s="14"/>
      <c r="D170" s="15"/>
      <c r="E170" s="16"/>
    </row>
    <row r="171">
      <c r="A171" s="11"/>
      <c r="B171" s="20"/>
      <c r="C171" s="14"/>
      <c r="D171" s="15"/>
      <c r="E171" s="16"/>
    </row>
    <row r="172">
      <c r="A172" s="11"/>
      <c r="B172" s="20"/>
      <c r="C172" s="14"/>
      <c r="D172" s="15"/>
      <c r="E172" s="16"/>
    </row>
    <row r="173">
      <c r="A173" s="11"/>
      <c r="B173" s="20"/>
      <c r="C173" s="14"/>
      <c r="D173" s="15"/>
      <c r="E173" s="16"/>
    </row>
    <row r="174">
      <c r="A174" s="11"/>
      <c r="B174" s="20"/>
      <c r="C174" s="14"/>
      <c r="D174" s="15"/>
      <c r="E174" s="16"/>
    </row>
    <row r="175">
      <c r="A175" s="11"/>
      <c r="B175" s="20"/>
      <c r="C175" s="14"/>
      <c r="D175" s="15"/>
      <c r="E175" s="16"/>
    </row>
    <row r="176">
      <c r="A176" s="11"/>
      <c r="B176" s="20"/>
      <c r="C176" s="14"/>
      <c r="D176" s="15"/>
      <c r="E176" s="16"/>
    </row>
    <row r="177">
      <c r="A177" s="11"/>
      <c r="B177" s="20"/>
      <c r="C177" s="14"/>
      <c r="D177" s="15"/>
      <c r="E177" s="16"/>
    </row>
    <row r="178">
      <c r="A178" s="11"/>
      <c r="B178" s="20"/>
      <c r="C178" s="14"/>
      <c r="D178" s="15"/>
      <c r="E178" s="16"/>
    </row>
    <row r="179">
      <c r="A179" s="11"/>
      <c r="B179" s="20"/>
      <c r="C179" s="14"/>
      <c r="D179" s="15"/>
      <c r="E179" s="16"/>
    </row>
    <row r="180">
      <c r="A180" s="11"/>
      <c r="B180" s="20"/>
      <c r="C180" s="14"/>
      <c r="D180" s="15"/>
      <c r="E180" s="16"/>
    </row>
    <row r="181">
      <c r="A181" s="11"/>
      <c r="B181" s="20"/>
      <c r="C181" s="14"/>
      <c r="D181" s="15"/>
      <c r="E181" s="16"/>
    </row>
    <row r="182">
      <c r="A182" s="11"/>
      <c r="B182" s="20"/>
      <c r="C182" s="14"/>
      <c r="D182" s="15"/>
      <c r="E182" s="16"/>
    </row>
    <row r="183">
      <c r="A183" s="11"/>
      <c r="B183" s="20"/>
      <c r="C183" s="14"/>
      <c r="D183" s="15"/>
      <c r="E183" s="16"/>
    </row>
    <row r="184">
      <c r="A184" s="11"/>
      <c r="B184" s="20"/>
      <c r="C184" s="14"/>
      <c r="D184" s="15"/>
      <c r="E184" s="16"/>
    </row>
    <row r="185">
      <c r="A185" s="11"/>
      <c r="B185" s="20"/>
      <c r="C185" s="14"/>
      <c r="D185" s="15"/>
      <c r="E185" s="16"/>
    </row>
    <row r="186">
      <c r="A186" s="11"/>
      <c r="B186" s="20"/>
      <c r="C186" s="14"/>
      <c r="D186" s="15"/>
      <c r="E186" s="16"/>
    </row>
    <row r="187">
      <c r="A187" s="11"/>
      <c r="B187" s="20"/>
      <c r="C187" s="14"/>
      <c r="D187" s="15"/>
      <c r="E187" s="16"/>
    </row>
    <row r="188">
      <c r="A188" s="11"/>
      <c r="B188" s="20"/>
      <c r="C188" s="14"/>
      <c r="D188" s="15"/>
      <c r="E188" s="16"/>
    </row>
    <row r="189">
      <c r="A189" s="11"/>
      <c r="B189" s="20"/>
      <c r="C189" s="14"/>
      <c r="D189" s="15"/>
      <c r="E189" s="16"/>
    </row>
    <row r="190">
      <c r="A190" s="11"/>
      <c r="B190" s="20"/>
      <c r="C190" s="14"/>
      <c r="D190" s="15"/>
      <c r="E190" s="16"/>
    </row>
    <row r="191">
      <c r="A191" s="11"/>
      <c r="B191" s="20"/>
      <c r="C191" s="14"/>
      <c r="D191" s="15"/>
      <c r="E191" s="16"/>
    </row>
    <row r="192">
      <c r="A192" s="11"/>
      <c r="B192" s="20"/>
      <c r="C192" s="14"/>
      <c r="D192" s="15"/>
      <c r="E192" s="16"/>
    </row>
    <row r="193">
      <c r="A193" s="11"/>
      <c r="B193" s="20"/>
      <c r="C193" s="14"/>
      <c r="D193" s="15"/>
      <c r="E193" s="16"/>
    </row>
    <row r="194">
      <c r="A194" s="11"/>
      <c r="B194" s="20"/>
      <c r="C194" s="14"/>
      <c r="D194" s="15"/>
      <c r="E194" s="16"/>
    </row>
    <row r="195">
      <c r="A195" s="11"/>
      <c r="B195" s="20"/>
      <c r="C195" s="14"/>
      <c r="D195" s="15"/>
      <c r="E195" s="16"/>
    </row>
    <row r="196">
      <c r="A196" s="11"/>
      <c r="B196" s="20"/>
      <c r="C196" s="14"/>
      <c r="D196" s="15"/>
      <c r="E196" s="16"/>
    </row>
    <row r="197">
      <c r="A197" s="11"/>
      <c r="B197" s="20"/>
      <c r="C197" s="14"/>
      <c r="D197" s="15"/>
      <c r="E197" s="16"/>
    </row>
    <row r="198">
      <c r="A198" s="11"/>
      <c r="B198" s="20"/>
      <c r="C198" s="14"/>
      <c r="D198" s="15"/>
      <c r="E198" s="16"/>
    </row>
    <row r="199">
      <c r="A199" s="11"/>
      <c r="B199" s="20"/>
      <c r="C199" s="14"/>
      <c r="D199" s="15"/>
      <c r="E199" s="16"/>
    </row>
    <row r="200">
      <c r="A200" s="11"/>
      <c r="B200" s="20"/>
      <c r="C200" s="14"/>
      <c r="D200" s="15"/>
      <c r="E200" s="16"/>
    </row>
    <row r="201">
      <c r="A201" s="11"/>
      <c r="B201" s="20"/>
      <c r="C201" s="14"/>
      <c r="D201" s="15"/>
      <c r="E201" s="16"/>
    </row>
    <row r="202">
      <c r="A202" s="11"/>
      <c r="B202" s="20"/>
      <c r="C202" s="14"/>
      <c r="D202" s="15"/>
      <c r="E202" s="16"/>
    </row>
    <row r="203">
      <c r="A203" s="11"/>
      <c r="B203" s="20"/>
      <c r="C203" s="14"/>
      <c r="D203" s="15"/>
      <c r="E203" s="16"/>
    </row>
    <row r="204">
      <c r="A204" s="11"/>
      <c r="B204" s="20"/>
      <c r="C204" s="14"/>
      <c r="D204" s="15"/>
      <c r="E204" s="16"/>
    </row>
    <row r="205">
      <c r="A205" s="11"/>
      <c r="B205" s="20"/>
      <c r="C205" s="14"/>
      <c r="D205" s="15"/>
      <c r="E205" s="16"/>
    </row>
    <row r="206">
      <c r="A206" s="11"/>
      <c r="B206" s="20"/>
      <c r="C206" s="14"/>
      <c r="D206" s="15"/>
      <c r="E206" s="16"/>
    </row>
    <row r="207">
      <c r="A207" s="11"/>
      <c r="B207" s="20"/>
      <c r="C207" s="14"/>
      <c r="D207" s="15"/>
      <c r="E207" s="16"/>
    </row>
    <row r="208">
      <c r="A208" s="11"/>
      <c r="B208" s="20"/>
      <c r="C208" s="14"/>
      <c r="D208" s="15"/>
      <c r="E208" s="16"/>
    </row>
    <row r="209">
      <c r="A209" s="11"/>
      <c r="B209" s="20"/>
      <c r="C209" s="14"/>
      <c r="D209" s="15"/>
      <c r="E209" s="16"/>
    </row>
    <row r="210">
      <c r="A210" s="11"/>
      <c r="B210" s="20"/>
      <c r="C210" s="14"/>
      <c r="D210" s="15"/>
      <c r="E210" s="16"/>
    </row>
    <row r="211">
      <c r="A211" s="11"/>
      <c r="B211" s="20"/>
      <c r="C211" s="14"/>
      <c r="D211" s="15"/>
      <c r="E211" s="16"/>
    </row>
    <row r="212">
      <c r="A212" s="11"/>
      <c r="B212" s="20"/>
      <c r="C212" s="14"/>
      <c r="D212" s="15"/>
      <c r="E212" s="16"/>
    </row>
    <row r="213">
      <c r="A213" s="11"/>
      <c r="B213" s="20"/>
      <c r="C213" s="14"/>
      <c r="D213" s="15"/>
      <c r="E213" s="16"/>
    </row>
    <row r="214">
      <c r="A214" s="11"/>
      <c r="B214" s="20"/>
      <c r="C214" s="14"/>
      <c r="D214" s="15"/>
      <c r="E214" s="16"/>
    </row>
    <row r="215">
      <c r="A215" s="11"/>
      <c r="B215" s="20"/>
      <c r="C215" s="14"/>
      <c r="D215" s="15"/>
      <c r="E215" s="16"/>
    </row>
    <row r="216">
      <c r="A216" s="11"/>
      <c r="B216" s="20"/>
      <c r="C216" s="14"/>
      <c r="D216" s="15"/>
      <c r="E216" s="16"/>
    </row>
    <row r="217">
      <c r="A217" s="11"/>
      <c r="B217" s="20"/>
      <c r="C217" s="14"/>
      <c r="D217" s="15"/>
      <c r="E217" s="16"/>
    </row>
    <row r="218">
      <c r="A218" s="11"/>
      <c r="B218" s="20"/>
      <c r="C218" s="14"/>
      <c r="D218" s="15"/>
      <c r="E218" s="16"/>
    </row>
    <row r="219">
      <c r="A219" s="11"/>
      <c r="B219" s="20"/>
      <c r="C219" s="14"/>
      <c r="D219" s="15"/>
      <c r="E219" s="16"/>
    </row>
    <row r="220">
      <c r="A220" s="11"/>
      <c r="B220" s="20"/>
      <c r="C220" s="14"/>
      <c r="D220" s="15"/>
      <c r="E220" s="16"/>
    </row>
    <row r="221">
      <c r="A221" s="11"/>
      <c r="B221" s="20"/>
      <c r="C221" s="14"/>
      <c r="D221" s="15"/>
      <c r="E221" s="16"/>
    </row>
    <row r="222">
      <c r="A222" s="11"/>
      <c r="B222" s="20"/>
      <c r="C222" s="14"/>
      <c r="D222" s="15"/>
      <c r="E222" s="16"/>
    </row>
    <row r="223">
      <c r="A223" s="11"/>
      <c r="B223" s="20"/>
      <c r="C223" s="14"/>
      <c r="D223" s="15"/>
      <c r="E223" s="16"/>
    </row>
    <row r="224">
      <c r="A224" s="11"/>
      <c r="B224" s="20"/>
      <c r="C224" s="14"/>
      <c r="D224" s="15"/>
      <c r="E224" s="16"/>
    </row>
    <row r="225">
      <c r="A225" s="11"/>
      <c r="B225" s="20"/>
      <c r="C225" s="14"/>
      <c r="D225" s="15"/>
      <c r="E225" s="16"/>
    </row>
    <row r="226">
      <c r="A226" s="11"/>
      <c r="B226" s="20"/>
      <c r="C226" s="14"/>
      <c r="D226" s="15"/>
      <c r="E226" s="16"/>
    </row>
    <row r="227">
      <c r="A227" s="11"/>
      <c r="B227" s="20"/>
      <c r="C227" s="14"/>
      <c r="D227" s="15"/>
      <c r="E227" s="16"/>
    </row>
    <row r="228">
      <c r="A228" s="11"/>
      <c r="B228" s="20"/>
      <c r="C228" s="14"/>
      <c r="D228" s="15"/>
      <c r="E228" s="16"/>
    </row>
    <row r="229">
      <c r="A229" s="11"/>
      <c r="B229" s="20"/>
      <c r="C229" s="14"/>
      <c r="D229" s="15"/>
      <c r="E229" s="16"/>
    </row>
    <row r="230">
      <c r="A230" s="11"/>
      <c r="B230" s="20"/>
      <c r="C230" s="14"/>
      <c r="D230" s="15"/>
      <c r="E230" s="16"/>
    </row>
    <row r="231">
      <c r="A231" s="11"/>
      <c r="B231" s="20"/>
      <c r="C231" s="14"/>
      <c r="D231" s="15"/>
      <c r="E231" s="16"/>
    </row>
    <row r="232">
      <c r="A232" s="11"/>
      <c r="B232" s="20"/>
      <c r="C232" s="14"/>
      <c r="D232" s="15"/>
      <c r="E232" s="16"/>
    </row>
    <row r="233">
      <c r="A233" s="11"/>
      <c r="B233" s="20"/>
      <c r="C233" s="14"/>
      <c r="D233" s="15"/>
      <c r="E233" s="16"/>
    </row>
    <row r="234">
      <c r="A234" s="11"/>
      <c r="B234" s="20"/>
      <c r="C234" s="14"/>
      <c r="D234" s="15"/>
      <c r="E234" s="16"/>
    </row>
    <row r="235">
      <c r="A235" s="11"/>
      <c r="B235" s="20"/>
      <c r="C235" s="14"/>
      <c r="D235" s="15"/>
      <c r="E235" s="16"/>
    </row>
    <row r="236">
      <c r="A236" s="11"/>
      <c r="B236" s="20"/>
      <c r="C236" s="14"/>
      <c r="D236" s="15"/>
      <c r="E236" s="16"/>
    </row>
    <row r="237">
      <c r="A237" s="11"/>
      <c r="B237" s="20"/>
      <c r="C237" s="14"/>
      <c r="D237" s="15"/>
      <c r="E237" s="16"/>
    </row>
    <row r="238">
      <c r="A238" s="11"/>
      <c r="B238" s="20"/>
      <c r="C238" s="14"/>
      <c r="D238" s="15"/>
      <c r="E238" s="16"/>
    </row>
    <row r="239">
      <c r="A239" s="11"/>
      <c r="B239" s="20"/>
      <c r="C239" s="14"/>
      <c r="D239" s="15"/>
      <c r="E239" s="16"/>
    </row>
    <row r="240">
      <c r="A240" s="11"/>
      <c r="B240" s="20"/>
      <c r="C240" s="14"/>
      <c r="D240" s="15"/>
      <c r="E240" s="16"/>
    </row>
    <row r="241">
      <c r="A241" s="11"/>
      <c r="B241" s="20"/>
      <c r="C241" s="14"/>
      <c r="D241" s="15"/>
      <c r="E241" s="16"/>
    </row>
    <row r="242">
      <c r="A242" s="11"/>
      <c r="B242" s="20"/>
      <c r="C242" s="14"/>
      <c r="D242" s="15"/>
      <c r="E242" s="16"/>
    </row>
    <row r="243">
      <c r="A243" s="11"/>
      <c r="B243" s="20"/>
      <c r="C243" s="14"/>
      <c r="D243" s="15"/>
      <c r="E243" s="16"/>
    </row>
    <row r="244">
      <c r="A244" s="11"/>
      <c r="B244" s="20"/>
      <c r="C244" s="14"/>
      <c r="D244" s="15"/>
      <c r="E244" s="16"/>
    </row>
    <row r="245">
      <c r="A245" s="11"/>
      <c r="B245" s="20"/>
      <c r="C245" s="14"/>
      <c r="D245" s="15"/>
      <c r="E245" s="16"/>
    </row>
    <row r="246">
      <c r="A246" s="11"/>
      <c r="B246" s="20"/>
      <c r="C246" s="14"/>
      <c r="D246" s="15"/>
      <c r="E246" s="16"/>
    </row>
    <row r="247">
      <c r="A247" s="11"/>
      <c r="B247" s="20"/>
      <c r="C247" s="14"/>
      <c r="D247" s="15"/>
      <c r="E247" s="16"/>
    </row>
    <row r="248">
      <c r="A248" s="11"/>
      <c r="B248" s="20"/>
      <c r="C248" s="14"/>
      <c r="D248" s="15"/>
      <c r="E248" s="16"/>
    </row>
    <row r="249">
      <c r="A249" s="11"/>
      <c r="B249" s="20"/>
      <c r="C249" s="14"/>
      <c r="D249" s="15"/>
      <c r="E249" s="16"/>
    </row>
    <row r="250">
      <c r="A250" s="11"/>
      <c r="B250" s="20"/>
      <c r="C250" s="14"/>
      <c r="D250" s="15"/>
      <c r="E250" s="16"/>
    </row>
    <row r="251">
      <c r="A251" s="11"/>
      <c r="B251" s="20"/>
      <c r="C251" s="14"/>
      <c r="D251" s="15"/>
      <c r="E251" s="16"/>
    </row>
    <row r="252">
      <c r="A252" s="11"/>
      <c r="B252" s="20"/>
      <c r="C252" s="14"/>
      <c r="D252" s="15"/>
      <c r="E252" s="16"/>
    </row>
    <row r="253">
      <c r="A253" s="11"/>
      <c r="B253" s="20"/>
      <c r="C253" s="14"/>
      <c r="D253" s="15"/>
      <c r="E253" s="16"/>
    </row>
    <row r="254">
      <c r="A254" s="11"/>
      <c r="B254" s="20"/>
      <c r="C254" s="14"/>
      <c r="D254" s="15"/>
      <c r="E254" s="16"/>
    </row>
    <row r="255">
      <c r="A255" s="11"/>
      <c r="B255" s="20"/>
      <c r="C255" s="14"/>
      <c r="D255" s="15"/>
      <c r="E255" s="16"/>
    </row>
    <row r="256">
      <c r="A256" s="11"/>
      <c r="B256" s="20"/>
      <c r="C256" s="14"/>
      <c r="D256" s="15"/>
      <c r="E256" s="16"/>
    </row>
    <row r="257">
      <c r="A257" s="11"/>
      <c r="B257" s="20"/>
      <c r="C257" s="14"/>
      <c r="D257" s="15"/>
      <c r="E257" s="16"/>
    </row>
    <row r="258">
      <c r="A258" s="11"/>
      <c r="B258" s="20"/>
      <c r="C258" s="14"/>
      <c r="D258" s="15"/>
      <c r="E258" s="16"/>
    </row>
    <row r="259">
      <c r="A259" s="11"/>
      <c r="B259" s="20"/>
      <c r="C259" s="14"/>
      <c r="D259" s="15"/>
      <c r="E259" s="16"/>
    </row>
    <row r="260">
      <c r="A260" s="11"/>
      <c r="B260" s="20"/>
      <c r="C260" s="14"/>
      <c r="D260" s="15"/>
      <c r="E260" s="16"/>
    </row>
    <row r="261">
      <c r="A261" s="11"/>
      <c r="B261" s="20"/>
      <c r="C261" s="14"/>
      <c r="D261" s="15"/>
      <c r="E261" s="16"/>
    </row>
    <row r="262">
      <c r="A262" s="11"/>
      <c r="B262" s="20"/>
      <c r="C262" s="14"/>
      <c r="D262" s="15"/>
      <c r="E262" s="16"/>
    </row>
    <row r="263">
      <c r="A263" s="11"/>
      <c r="B263" s="20"/>
      <c r="C263" s="14"/>
      <c r="D263" s="15"/>
      <c r="E263" s="16"/>
    </row>
    <row r="264">
      <c r="A264" s="11"/>
      <c r="B264" s="20"/>
      <c r="C264" s="14"/>
      <c r="D264" s="15"/>
      <c r="E264" s="16"/>
    </row>
    <row r="265">
      <c r="A265" s="11"/>
      <c r="B265" s="20"/>
      <c r="C265" s="14"/>
      <c r="D265" s="15"/>
      <c r="E265" s="16"/>
    </row>
    <row r="266">
      <c r="A266" s="11"/>
      <c r="B266" s="20"/>
      <c r="C266" s="14"/>
      <c r="D266" s="15"/>
      <c r="E266" s="16"/>
    </row>
    <row r="267">
      <c r="A267" s="11"/>
      <c r="B267" s="20"/>
      <c r="C267" s="14"/>
      <c r="D267" s="15"/>
      <c r="E267" s="16"/>
    </row>
    <row r="268">
      <c r="A268" s="11"/>
      <c r="B268" s="20"/>
      <c r="C268" s="14"/>
      <c r="D268" s="15"/>
      <c r="E268" s="16"/>
    </row>
    <row r="269">
      <c r="A269" s="11"/>
      <c r="B269" s="20"/>
      <c r="C269" s="14"/>
      <c r="D269" s="15"/>
      <c r="E269" s="16"/>
    </row>
    <row r="270">
      <c r="A270" s="11"/>
      <c r="B270" s="20"/>
      <c r="C270" s="14"/>
      <c r="D270" s="15"/>
      <c r="E270" s="16"/>
    </row>
    <row r="271">
      <c r="A271" s="11"/>
      <c r="B271" s="20"/>
      <c r="C271" s="14"/>
      <c r="D271" s="15"/>
      <c r="E271" s="16"/>
    </row>
    <row r="272">
      <c r="A272" s="11"/>
      <c r="B272" s="20"/>
      <c r="C272" s="14"/>
      <c r="D272" s="15"/>
      <c r="E272" s="16"/>
    </row>
    <row r="273">
      <c r="A273" s="11"/>
      <c r="B273" s="20"/>
      <c r="C273" s="14"/>
      <c r="D273" s="15"/>
      <c r="E273" s="16"/>
    </row>
    <row r="274">
      <c r="A274" s="11"/>
      <c r="B274" s="20"/>
      <c r="C274" s="14"/>
      <c r="D274" s="15"/>
      <c r="E274" s="16"/>
    </row>
    <row r="275">
      <c r="A275" s="11"/>
      <c r="B275" s="20"/>
      <c r="C275" s="14"/>
      <c r="D275" s="15"/>
      <c r="E275" s="16"/>
    </row>
    <row r="276">
      <c r="A276" s="11"/>
      <c r="B276" s="20"/>
      <c r="C276" s="14"/>
      <c r="D276" s="15"/>
      <c r="E276" s="16"/>
    </row>
    <row r="277">
      <c r="A277" s="11"/>
      <c r="B277" s="20"/>
      <c r="C277" s="14"/>
      <c r="D277" s="15"/>
      <c r="E277" s="16"/>
    </row>
    <row r="278">
      <c r="A278" s="11"/>
      <c r="B278" s="20"/>
      <c r="C278" s="14"/>
      <c r="D278" s="15"/>
      <c r="E278" s="16"/>
    </row>
    <row r="279">
      <c r="A279" s="11"/>
      <c r="B279" s="20"/>
      <c r="C279" s="14"/>
      <c r="D279" s="15"/>
      <c r="E279" s="16"/>
    </row>
    <row r="280">
      <c r="A280" s="11"/>
      <c r="B280" s="20"/>
      <c r="C280" s="14"/>
      <c r="D280" s="15"/>
      <c r="E280" s="16"/>
    </row>
    <row r="281">
      <c r="A281" s="11"/>
      <c r="B281" s="20"/>
      <c r="C281" s="14"/>
      <c r="D281" s="15"/>
      <c r="E281" s="16"/>
    </row>
    <row r="282">
      <c r="A282" s="11"/>
      <c r="B282" s="20"/>
      <c r="C282" s="14"/>
      <c r="D282" s="15"/>
      <c r="E282" s="16"/>
    </row>
    <row r="283">
      <c r="A283" s="11"/>
      <c r="B283" s="20"/>
      <c r="C283" s="14"/>
      <c r="D283" s="15"/>
      <c r="E283" s="16"/>
    </row>
    <row r="284">
      <c r="A284" s="11"/>
      <c r="B284" s="20"/>
      <c r="C284" s="14"/>
      <c r="D284" s="15"/>
      <c r="E284" s="16"/>
    </row>
    <row r="285">
      <c r="A285" s="11"/>
      <c r="B285" s="20"/>
      <c r="C285" s="14"/>
      <c r="D285" s="15"/>
      <c r="E285" s="16"/>
    </row>
    <row r="286">
      <c r="A286" s="11"/>
      <c r="B286" s="20"/>
      <c r="C286" s="14"/>
      <c r="D286" s="15"/>
      <c r="E286" s="16"/>
    </row>
    <row r="287">
      <c r="A287" s="11"/>
      <c r="B287" s="20"/>
      <c r="C287" s="14"/>
      <c r="D287" s="15"/>
      <c r="E287" s="16"/>
    </row>
    <row r="288">
      <c r="A288" s="11"/>
      <c r="B288" s="20"/>
      <c r="C288" s="14"/>
      <c r="D288" s="15"/>
      <c r="E288" s="16"/>
    </row>
    <row r="289">
      <c r="A289" s="11"/>
      <c r="B289" s="20"/>
      <c r="C289" s="14"/>
      <c r="D289" s="15"/>
      <c r="E289" s="16"/>
    </row>
    <row r="290">
      <c r="A290" s="11"/>
      <c r="B290" s="20"/>
      <c r="C290" s="14"/>
      <c r="D290" s="15"/>
      <c r="E290" s="16"/>
    </row>
    <row r="291">
      <c r="A291" s="11"/>
      <c r="B291" s="20"/>
      <c r="C291" s="14"/>
      <c r="D291" s="15"/>
      <c r="E291" s="16"/>
    </row>
    <row r="292">
      <c r="A292" s="11"/>
      <c r="B292" s="20"/>
      <c r="C292" s="14"/>
      <c r="D292" s="15"/>
      <c r="E292" s="16"/>
    </row>
    <row r="293">
      <c r="A293" s="11"/>
      <c r="B293" s="20"/>
      <c r="C293" s="14"/>
      <c r="D293" s="15"/>
      <c r="E293" s="16"/>
    </row>
    <row r="294">
      <c r="A294" s="11"/>
      <c r="B294" s="20"/>
      <c r="C294" s="14"/>
      <c r="D294" s="15"/>
      <c r="E294" s="16"/>
    </row>
    <row r="295">
      <c r="A295" s="11"/>
      <c r="B295" s="20"/>
      <c r="C295" s="14"/>
      <c r="D295" s="15"/>
      <c r="E295" s="16"/>
    </row>
    <row r="296">
      <c r="A296" s="11"/>
      <c r="B296" s="20"/>
      <c r="C296" s="14"/>
      <c r="D296" s="15"/>
      <c r="E296" s="16"/>
    </row>
    <row r="297">
      <c r="A297" s="11"/>
      <c r="B297" s="20"/>
      <c r="C297" s="14"/>
      <c r="D297" s="15"/>
      <c r="E297" s="16"/>
    </row>
    <row r="298">
      <c r="A298" s="11"/>
      <c r="B298" s="20"/>
      <c r="C298" s="14"/>
      <c r="D298" s="15"/>
      <c r="E298" s="16"/>
    </row>
    <row r="299">
      <c r="A299" s="11"/>
      <c r="B299" s="20"/>
      <c r="C299" s="14"/>
      <c r="D299" s="15"/>
      <c r="E299" s="16"/>
    </row>
    <row r="300">
      <c r="A300" s="11"/>
      <c r="B300" s="20"/>
      <c r="C300" s="14"/>
      <c r="D300" s="15"/>
      <c r="E300" s="16"/>
    </row>
    <row r="301">
      <c r="A301" s="11"/>
      <c r="B301" s="20"/>
      <c r="C301" s="14"/>
      <c r="D301" s="15"/>
      <c r="E301" s="16"/>
    </row>
    <row r="302">
      <c r="A302" s="11"/>
      <c r="B302" s="20"/>
      <c r="C302" s="14"/>
      <c r="D302" s="15"/>
      <c r="E302" s="16"/>
    </row>
    <row r="303">
      <c r="A303" s="11"/>
      <c r="B303" s="20"/>
      <c r="C303" s="14"/>
      <c r="D303" s="15"/>
      <c r="E303" s="16"/>
    </row>
    <row r="304">
      <c r="A304" s="11"/>
      <c r="B304" s="20"/>
      <c r="C304" s="14"/>
      <c r="D304" s="15"/>
      <c r="E304" s="16"/>
    </row>
    <row r="305">
      <c r="A305" s="11"/>
      <c r="B305" s="20"/>
      <c r="C305" s="14"/>
      <c r="D305" s="15"/>
      <c r="E305" s="16"/>
    </row>
    <row r="306">
      <c r="A306" s="11"/>
      <c r="B306" s="20"/>
      <c r="C306" s="14"/>
      <c r="D306" s="15"/>
      <c r="E306" s="16"/>
    </row>
    <row r="307">
      <c r="A307" s="11"/>
      <c r="B307" s="20"/>
      <c r="C307" s="14"/>
      <c r="D307" s="15"/>
      <c r="E307" s="16"/>
    </row>
    <row r="308">
      <c r="A308" s="11"/>
      <c r="B308" s="20"/>
      <c r="C308" s="14"/>
      <c r="D308" s="15"/>
      <c r="E308" s="16"/>
    </row>
    <row r="309">
      <c r="A309" s="11"/>
      <c r="B309" s="20"/>
      <c r="C309" s="14"/>
      <c r="D309" s="15"/>
      <c r="E309" s="16"/>
    </row>
    <row r="310">
      <c r="A310" s="11"/>
      <c r="B310" s="20"/>
      <c r="C310" s="14"/>
      <c r="D310" s="15"/>
      <c r="E310" s="16"/>
    </row>
    <row r="311">
      <c r="A311" s="11"/>
      <c r="B311" s="20"/>
      <c r="C311" s="14"/>
      <c r="D311" s="15"/>
      <c r="E311" s="16"/>
    </row>
    <row r="312">
      <c r="A312" s="11"/>
      <c r="B312" s="20"/>
      <c r="C312" s="14"/>
      <c r="D312" s="15"/>
      <c r="E312" s="16"/>
    </row>
    <row r="313">
      <c r="A313" s="11"/>
      <c r="B313" s="20"/>
      <c r="C313" s="14"/>
      <c r="D313" s="15"/>
      <c r="E313" s="16"/>
    </row>
    <row r="314">
      <c r="A314" s="11"/>
      <c r="B314" s="20"/>
      <c r="C314" s="14"/>
      <c r="D314" s="15"/>
      <c r="E314" s="16"/>
    </row>
    <row r="315">
      <c r="A315" s="11"/>
      <c r="B315" s="20"/>
      <c r="C315" s="14"/>
      <c r="D315" s="15"/>
      <c r="E315" s="16"/>
    </row>
    <row r="316">
      <c r="A316" s="11"/>
      <c r="B316" s="20"/>
      <c r="C316" s="14"/>
      <c r="D316" s="15"/>
      <c r="E316" s="16"/>
    </row>
    <row r="317">
      <c r="A317" s="11"/>
      <c r="B317" s="20"/>
      <c r="C317" s="14"/>
      <c r="D317" s="15"/>
      <c r="E317" s="16"/>
    </row>
    <row r="318">
      <c r="A318" s="11"/>
      <c r="B318" s="20"/>
      <c r="C318" s="14"/>
      <c r="D318" s="15"/>
      <c r="E318" s="16"/>
    </row>
    <row r="319">
      <c r="A319" s="11"/>
      <c r="B319" s="20"/>
      <c r="C319" s="14"/>
      <c r="D319" s="15"/>
      <c r="E319" s="16"/>
    </row>
    <row r="320">
      <c r="A320" s="11"/>
      <c r="B320" s="20"/>
      <c r="C320" s="14"/>
      <c r="D320" s="15"/>
      <c r="E320" s="16"/>
    </row>
    <row r="321">
      <c r="A321" s="11"/>
      <c r="B321" s="20"/>
      <c r="C321" s="14"/>
      <c r="D321" s="15"/>
      <c r="E321" s="16"/>
    </row>
    <row r="322">
      <c r="A322" s="11"/>
      <c r="B322" s="20"/>
      <c r="C322" s="14"/>
      <c r="D322" s="15"/>
      <c r="E322" s="16"/>
    </row>
    <row r="323">
      <c r="A323" s="11"/>
      <c r="B323" s="20"/>
      <c r="C323" s="14"/>
      <c r="D323" s="15"/>
      <c r="E323" s="16"/>
    </row>
    <row r="324">
      <c r="A324" s="11"/>
      <c r="B324" s="20"/>
      <c r="C324" s="14"/>
      <c r="D324" s="15"/>
      <c r="E324" s="16"/>
    </row>
    <row r="325">
      <c r="A325" s="11"/>
      <c r="B325" s="20"/>
      <c r="C325" s="14"/>
      <c r="D325" s="15"/>
      <c r="E325" s="16"/>
    </row>
    <row r="326">
      <c r="A326" s="11"/>
      <c r="B326" s="20"/>
      <c r="C326" s="14"/>
      <c r="D326" s="15"/>
      <c r="E326" s="16"/>
    </row>
    <row r="327">
      <c r="A327" s="11"/>
      <c r="B327" s="20"/>
      <c r="C327" s="14"/>
      <c r="D327" s="15"/>
      <c r="E327" s="16"/>
    </row>
    <row r="328">
      <c r="A328" s="11"/>
      <c r="B328" s="20"/>
      <c r="C328" s="14"/>
      <c r="D328" s="15"/>
      <c r="E328" s="16"/>
    </row>
    <row r="329">
      <c r="A329" s="11"/>
      <c r="B329" s="20"/>
      <c r="C329" s="14"/>
      <c r="D329" s="15"/>
      <c r="E329" s="16"/>
    </row>
    <row r="330">
      <c r="A330" s="11"/>
      <c r="B330" s="20"/>
      <c r="C330" s="14"/>
      <c r="D330" s="15"/>
      <c r="E330" s="16"/>
    </row>
    <row r="331">
      <c r="A331" s="11"/>
      <c r="B331" s="20"/>
      <c r="C331" s="14"/>
      <c r="D331" s="15"/>
      <c r="E331" s="16"/>
    </row>
    <row r="332">
      <c r="A332" s="11"/>
      <c r="B332" s="20"/>
      <c r="C332" s="14"/>
      <c r="D332" s="15"/>
      <c r="E332" s="16"/>
    </row>
    <row r="333">
      <c r="A333" s="11"/>
      <c r="B333" s="20"/>
      <c r="C333" s="14"/>
      <c r="D333" s="15"/>
      <c r="E333" s="16"/>
    </row>
    <row r="334">
      <c r="A334" s="11"/>
      <c r="B334" s="20"/>
      <c r="C334" s="14"/>
      <c r="D334" s="15"/>
      <c r="E334" s="16"/>
    </row>
    <row r="335">
      <c r="A335" s="11"/>
      <c r="B335" s="20"/>
      <c r="C335" s="14"/>
      <c r="D335" s="15"/>
      <c r="E335" s="16"/>
    </row>
    <row r="336">
      <c r="A336" s="11"/>
      <c r="B336" s="20"/>
      <c r="C336" s="14"/>
      <c r="D336" s="15"/>
      <c r="E336" s="16"/>
    </row>
    <row r="337">
      <c r="A337" s="11"/>
      <c r="B337" s="20"/>
      <c r="C337" s="14"/>
      <c r="D337" s="15"/>
      <c r="E337" s="16"/>
    </row>
    <row r="338">
      <c r="A338" s="11"/>
      <c r="B338" s="20"/>
      <c r="C338" s="14"/>
      <c r="D338" s="15"/>
      <c r="E338" s="16"/>
    </row>
    <row r="339">
      <c r="A339" s="11"/>
      <c r="B339" s="20"/>
      <c r="C339" s="14"/>
      <c r="D339" s="15"/>
      <c r="E339" s="16"/>
    </row>
    <row r="340">
      <c r="A340" s="11"/>
      <c r="B340" s="20"/>
      <c r="C340" s="14"/>
      <c r="D340" s="15"/>
      <c r="E340" s="16"/>
    </row>
    <row r="341">
      <c r="A341" s="11"/>
      <c r="B341" s="20"/>
      <c r="C341" s="14"/>
      <c r="D341" s="15"/>
      <c r="E341" s="16"/>
    </row>
    <row r="342">
      <c r="A342" s="11"/>
      <c r="B342" s="20"/>
      <c r="C342" s="14"/>
      <c r="D342" s="15"/>
      <c r="E342" s="16"/>
    </row>
    <row r="343">
      <c r="A343" s="11"/>
      <c r="B343" s="20"/>
      <c r="C343" s="14"/>
      <c r="D343" s="15"/>
      <c r="E343" s="16"/>
    </row>
    <row r="344">
      <c r="A344" s="11"/>
      <c r="B344" s="20"/>
      <c r="C344" s="14"/>
      <c r="D344" s="15"/>
      <c r="E344" s="16"/>
    </row>
    <row r="345">
      <c r="A345" s="11"/>
      <c r="B345" s="20"/>
      <c r="C345" s="14"/>
      <c r="D345" s="15"/>
      <c r="E345" s="16"/>
    </row>
    <row r="346">
      <c r="A346" s="11"/>
      <c r="B346" s="20"/>
      <c r="C346" s="14"/>
      <c r="D346" s="15"/>
      <c r="E346" s="16"/>
    </row>
    <row r="347">
      <c r="A347" s="11"/>
      <c r="B347" s="20"/>
      <c r="C347" s="14"/>
      <c r="D347" s="15"/>
      <c r="E347" s="16"/>
    </row>
    <row r="348">
      <c r="A348" s="11"/>
      <c r="B348" s="20"/>
      <c r="C348" s="14"/>
      <c r="D348" s="15"/>
      <c r="E348" s="16"/>
    </row>
    <row r="349">
      <c r="A349" s="11"/>
      <c r="B349" s="20"/>
      <c r="C349" s="14"/>
      <c r="D349" s="15"/>
      <c r="E349" s="16"/>
    </row>
    <row r="350">
      <c r="A350" s="11"/>
      <c r="B350" s="20"/>
      <c r="C350" s="14"/>
      <c r="D350" s="15"/>
      <c r="E350" s="16"/>
    </row>
    <row r="351">
      <c r="A351" s="11"/>
      <c r="B351" s="20"/>
      <c r="C351" s="14"/>
      <c r="D351" s="15"/>
      <c r="E351" s="16"/>
    </row>
    <row r="352">
      <c r="A352" s="11"/>
      <c r="B352" s="20"/>
      <c r="C352" s="14"/>
      <c r="D352" s="15"/>
      <c r="E352" s="16"/>
    </row>
    <row r="353">
      <c r="A353" s="11"/>
      <c r="B353" s="20"/>
      <c r="C353" s="14"/>
      <c r="D353" s="15"/>
      <c r="E353" s="16"/>
    </row>
    <row r="354">
      <c r="A354" s="11"/>
      <c r="B354" s="20"/>
      <c r="C354" s="14"/>
      <c r="D354" s="15"/>
      <c r="E354" s="16"/>
    </row>
    <row r="355">
      <c r="A355" s="11"/>
      <c r="B355" s="20"/>
      <c r="C355" s="14"/>
      <c r="D355" s="15"/>
      <c r="E355" s="16"/>
    </row>
    <row r="356">
      <c r="A356" s="11"/>
      <c r="B356" s="20"/>
      <c r="C356" s="14"/>
      <c r="D356" s="15"/>
      <c r="E356" s="16"/>
    </row>
    <row r="357">
      <c r="A357" s="11"/>
      <c r="B357" s="20"/>
      <c r="C357" s="14"/>
      <c r="D357" s="15"/>
      <c r="E357" s="16"/>
    </row>
    <row r="358">
      <c r="A358" s="11"/>
      <c r="B358" s="20"/>
      <c r="C358" s="14"/>
      <c r="D358" s="15"/>
      <c r="E358" s="16"/>
    </row>
    <row r="359">
      <c r="A359" s="11"/>
      <c r="B359" s="20"/>
      <c r="C359" s="14"/>
      <c r="D359" s="15"/>
      <c r="E359" s="16"/>
    </row>
    <row r="360">
      <c r="A360" s="11"/>
      <c r="B360" s="20"/>
      <c r="C360" s="14"/>
      <c r="D360" s="15"/>
      <c r="E360" s="16"/>
    </row>
    <row r="361">
      <c r="A361" s="11"/>
      <c r="B361" s="20"/>
      <c r="C361" s="14"/>
      <c r="D361" s="15"/>
      <c r="E361" s="16"/>
    </row>
    <row r="362">
      <c r="A362" s="11"/>
      <c r="B362" s="20"/>
      <c r="C362" s="14"/>
      <c r="D362" s="15"/>
      <c r="E362" s="16"/>
    </row>
    <row r="363">
      <c r="A363" s="11"/>
      <c r="B363" s="20"/>
      <c r="C363" s="14"/>
      <c r="D363" s="15"/>
      <c r="E363" s="16"/>
    </row>
    <row r="364">
      <c r="A364" s="11"/>
      <c r="B364" s="20"/>
      <c r="C364" s="14"/>
      <c r="D364" s="15"/>
      <c r="E364" s="16"/>
    </row>
    <row r="365">
      <c r="A365" s="11"/>
      <c r="B365" s="20"/>
      <c r="C365" s="14"/>
      <c r="D365" s="15"/>
      <c r="E365" s="16"/>
    </row>
    <row r="366">
      <c r="A366" s="11"/>
      <c r="B366" s="20"/>
      <c r="C366" s="14"/>
      <c r="D366" s="15"/>
      <c r="E366" s="16"/>
    </row>
    <row r="367">
      <c r="A367" s="11"/>
      <c r="B367" s="20"/>
      <c r="C367" s="14"/>
      <c r="D367" s="15"/>
      <c r="E367" s="16"/>
    </row>
    <row r="368">
      <c r="A368" s="11"/>
      <c r="B368" s="20"/>
      <c r="C368" s="14"/>
      <c r="D368" s="15"/>
      <c r="E368" s="16"/>
    </row>
    <row r="369">
      <c r="A369" s="11"/>
      <c r="B369" s="20"/>
      <c r="C369" s="14"/>
      <c r="D369" s="15"/>
      <c r="E369" s="16"/>
    </row>
    <row r="370">
      <c r="A370" s="11"/>
      <c r="B370" s="20"/>
      <c r="C370" s="14"/>
      <c r="D370" s="15"/>
      <c r="E370" s="16"/>
    </row>
    <row r="371">
      <c r="A371" s="11"/>
      <c r="B371" s="20"/>
      <c r="C371" s="14"/>
      <c r="D371" s="15"/>
      <c r="E371" s="16"/>
    </row>
    <row r="372">
      <c r="A372" s="11"/>
      <c r="B372" s="20"/>
      <c r="C372" s="14"/>
      <c r="D372" s="15"/>
      <c r="E372" s="16"/>
    </row>
    <row r="373">
      <c r="A373" s="11"/>
      <c r="B373" s="20"/>
      <c r="C373" s="14"/>
      <c r="D373" s="15"/>
      <c r="E373" s="16"/>
    </row>
    <row r="374">
      <c r="A374" s="11"/>
      <c r="B374" s="20"/>
      <c r="C374" s="14"/>
      <c r="D374" s="15"/>
      <c r="E374" s="16"/>
    </row>
    <row r="375">
      <c r="A375" s="11"/>
      <c r="B375" s="20"/>
      <c r="C375" s="14"/>
      <c r="D375" s="15"/>
      <c r="E375" s="16"/>
    </row>
    <row r="376">
      <c r="A376" s="11"/>
      <c r="B376" s="20"/>
      <c r="C376" s="14"/>
      <c r="D376" s="15"/>
      <c r="E376" s="16"/>
    </row>
    <row r="377">
      <c r="A377" s="11"/>
      <c r="B377" s="20"/>
      <c r="C377" s="14"/>
      <c r="D377" s="15"/>
      <c r="E377" s="16"/>
    </row>
    <row r="378">
      <c r="A378" s="11"/>
      <c r="B378" s="20"/>
      <c r="C378" s="14"/>
      <c r="D378" s="15"/>
      <c r="E378" s="16"/>
    </row>
    <row r="379">
      <c r="A379" s="11"/>
      <c r="B379" s="20"/>
      <c r="C379" s="14"/>
      <c r="D379" s="15"/>
      <c r="E379" s="16"/>
    </row>
    <row r="380">
      <c r="A380" s="11"/>
      <c r="B380" s="20"/>
      <c r="C380" s="14"/>
      <c r="D380" s="15"/>
      <c r="E380" s="16"/>
    </row>
    <row r="381">
      <c r="A381" s="11"/>
      <c r="B381" s="20"/>
      <c r="C381" s="14"/>
      <c r="D381" s="15"/>
      <c r="E381" s="16"/>
    </row>
    <row r="382">
      <c r="A382" s="11"/>
      <c r="B382" s="20"/>
      <c r="C382" s="14"/>
      <c r="D382" s="15"/>
      <c r="E382" s="16"/>
    </row>
    <row r="383">
      <c r="A383" s="11"/>
      <c r="B383" s="20"/>
      <c r="C383" s="14"/>
      <c r="D383" s="15"/>
      <c r="E383" s="16"/>
    </row>
    <row r="384">
      <c r="A384" s="11"/>
      <c r="B384" s="20"/>
      <c r="C384" s="14"/>
      <c r="D384" s="15"/>
      <c r="E384" s="16"/>
    </row>
    <row r="385">
      <c r="A385" s="11"/>
      <c r="B385" s="20"/>
      <c r="C385" s="14"/>
      <c r="D385" s="15"/>
      <c r="E385" s="16"/>
    </row>
    <row r="386">
      <c r="A386" s="11"/>
      <c r="B386" s="20"/>
      <c r="C386" s="14"/>
      <c r="D386" s="15"/>
      <c r="E386" s="16"/>
    </row>
    <row r="387">
      <c r="A387" s="11"/>
      <c r="B387" s="20"/>
      <c r="C387" s="14"/>
      <c r="D387" s="15"/>
      <c r="E387" s="16"/>
    </row>
    <row r="388">
      <c r="A388" s="11"/>
      <c r="B388" s="20"/>
      <c r="C388" s="14"/>
      <c r="D388" s="15"/>
      <c r="E388" s="16"/>
    </row>
    <row r="389">
      <c r="A389" s="11"/>
      <c r="B389" s="20"/>
      <c r="C389" s="14"/>
      <c r="D389" s="15"/>
      <c r="E389" s="16"/>
    </row>
    <row r="390">
      <c r="A390" s="11"/>
      <c r="B390" s="20"/>
      <c r="C390" s="14"/>
      <c r="D390" s="15"/>
      <c r="E390" s="16"/>
    </row>
    <row r="391">
      <c r="A391" s="11"/>
      <c r="B391" s="20"/>
      <c r="C391" s="14"/>
      <c r="D391" s="15"/>
      <c r="E391" s="16"/>
    </row>
    <row r="392">
      <c r="A392" s="11"/>
      <c r="B392" s="20"/>
      <c r="C392" s="14"/>
      <c r="D392" s="15"/>
      <c r="E392" s="16"/>
    </row>
    <row r="393">
      <c r="A393" s="11"/>
      <c r="B393" s="20"/>
      <c r="C393" s="14"/>
      <c r="D393" s="15"/>
      <c r="E393" s="16"/>
    </row>
    <row r="394">
      <c r="A394" s="11"/>
      <c r="B394" s="20"/>
      <c r="C394" s="14"/>
      <c r="D394" s="15"/>
      <c r="E394" s="16"/>
    </row>
    <row r="395">
      <c r="A395" s="11"/>
      <c r="B395" s="20"/>
      <c r="C395" s="14"/>
      <c r="D395" s="15"/>
      <c r="E395" s="16"/>
    </row>
    <row r="396">
      <c r="A396" s="11"/>
      <c r="B396" s="20"/>
      <c r="C396" s="14"/>
      <c r="D396" s="15"/>
      <c r="E396" s="16"/>
    </row>
    <row r="397">
      <c r="A397" s="11"/>
      <c r="B397" s="20"/>
      <c r="C397" s="14"/>
      <c r="D397" s="15"/>
      <c r="E397" s="16"/>
    </row>
    <row r="398">
      <c r="A398" s="11"/>
      <c r="B398" s="20"/>
      <c r="C398" s="14"/>
      <c r="D398" s="15"/>
      <c r="E398" s="16"/>
    </row>
    <row r="399">
      <c r="A399" s="11"/>
      <c r="B399" s="20"/>
      <c r="C399" s="14"/>
      <c r="D399" s="15"/>
      <c r="E399" s="16"/>
    </row>
    <row r="400">
      <c r="A400" s="11"/>
      <c r="B400" s="20"/>
      <c r="C400" s="14"/>
      <c r="D400" s="15"/>
      <c r="E400" s="16"/>
    </row>
    <row r="401">
      <c r="A401" s="11"/>
      <c r="B401" s="20"/>
      <c r="C401" s="14"/>
      <c r="D401" s="15"/>
      <c r="E401" s="16"/>
    </row>
    <row r="402">
      <c r="A402" s="11"/>
      <c r="B402" s="20"/>
      <c r="C402" s="14"/>
      <c r="D402" s="15"/>
      <c r="E402" s="16"/>
    </row>
    <row r="403">
      <c r="A403" s="11"/>
      <c r="B403" s="20"/>
      <c r="C403" s="14"/>
      <c r="D403" s="15"/>
      <c r="E403" s="16"/>
    </row>
    <row r="404">
      <c r="A404" s="11"/>
      <c r="B404" s="20"/>
      <c r="C404" s="14"/>
      <c r="D404" s="15"/>
      <c r="E404" s="16"/>
    </row>
    <row r="405">
      <c r="A405" s="11"/>
      <c r="B405" s="20"/>
      <c r="C405" s="14"/>
      <c r="D405" s="15"/>
      <c r="E405" s="16"/>
    </row>
    <row r="406">
      <c r="A406" s="11"/>
      <c r="B406" s="20"/>
      <c r="C406" s="14"/>
      <c r="D406" s="15"/>
      <c r="E406" s="16"/>
    </row>
    <row r="407">
      <c r="A407" s="11"/>
      <c r="B407" s="20"/>
      <c r="C407" s="14"/>
      <c r="D407" s="15"/>
      <c r="E407" s="16"/>
    </row>
    <row r="408">
      <c r="A408" s="11"/>
      <c r="B408" s="20"/>
      <c r="C408" s="14"/>
      <c r="D408" s="15"/>
      <c r="E408" s="16"/>
    </row>
    <row r="409">
      <c r="A409" s="11"/>
      <c r="B409" s="20"/>
      <c r="C409" s="14"/>
      <c r="D409" s="15"/>
      <c r="E409" s="16"/>
    </row>
    <row r="410">
      <c r="A410" s="11"/>
      <c r="B410" s="20"/>
      <c r="C410" s="14"/>
      <c r="D410" s="15"/>
      <c r="E410" s="16"/>
    </row>
    <row r="411">
      <c r="A411" s="11"/>
      <c r="B411" s="20"/>
      <c r="C411" s="14"/>
      <c r="D411" s="15"/>
      <c r="E411" s="16"/>
    </row>
    <row r="412">
      <c r="A412" s="11"/>
      <c r="B412" s="20"/>
      <c r="C412" s="14"/>
      <c r="D412" s="15"/>
      <c r="E412" s="16"/>
    </row>
    <row r="413">
      <c r="A413" s="11"/>
      <c r="B413" s="20"/>
      <c r="C413" s="14"/>
      <c r="D413" s="15"/>
      <c r="E413" s="16"/>
    </row>
    <row r="414">
      <c r="A414" s="11"/>
      <c r="B414" s="20"/>
      <c r="C414" s="14"/>
      <c r="D414" s="15"/>
      <c r="E414" s="16"/>
    </row>
    <row r="415">
      <c r="A415" s="11"/>
      <c r="B415" s="20"/>
      <c r="C415" s="14"/>
      <c r="D415" s="15"/>
      <c r="E415" s="16"/>
    </row>
    <row r="416">
      <c r="A416" s="11"/>
      <c r="B416" s="20"/>
      <c r="C416" s="14"/>
      <c r="D416" s="15"/>
      <c r="E416" s="16"/>
    </row>
    <row r="417">
      <c r="A417" s="11"/>
      <c r="B417" s="20"/>
      <c r="C417" s="14"/>
      <c r="D417" s="15"/>
      <c r="E417" s="16"/>
    </row>
    <row r="418">
      <c r="A418" s="11"/>
      <c r="B418" s="20"/>
      <c r="C418" s="14"/>
      <c r="D418" s="15"/>
      <c r="E418" s="16"/>
    </row>
    <row r="419">
      <c r="A419" s="11"/>
      <c r="B419" s="20"/>
      <c r="C419" s="14"/>
      <c r="D419" s="15"/>
      <c r="E419" s="16"/>
    </row>
    <row r="420">
      <c r="A420" s="11"/>
      <c r="B420" s="20"/>
      <c r="C420" s="14"/>
      <c r="D420" s="15"/>
      <c r="E420" s="16"/>
    </row>
    <row r="421">
      <c r="A421" s="11"/>
      <c r="B421" s="20"/>
      <c r="C421" s="14"/>
      <c r="D421" s="15"/>
      <c r="E421" s="16"/>
    </row>
    <row r="422">
      <c r="A422" s="11"/>
      <c r="B422" s="20"/>
      <c r="C422" s="14"/>
      <c r="D422" s="15"/>
      <c r="E422" s="16"/>
    </row>
    <row r="423">
      <c r="A423" s="11"/>
      <c r="B423" s="20"/>
      <c r="C423" s="14"/>
      <c r="D423" s="15"/>
      <c r="E423" s="16"/>
    </row>
    <row r="424">
      <c r="A424" s="11"/>
      <c r="B424" s="20"/>
      <c r="C424" s="14"/>
      <c r="D424" s="15"/>
      <c r="E424" s="16"/>
    </row>
    <row r="425">
      <c r="A425" s="11"/>
      <c r="B425" s="20"/>
      <c r="C425" s="14"/>
      <c r="D425" s="15"/>
      <c r="E425" s="16"/>
    </row>
    <row r="426">
      <c r="A426" s="11"/>
      <c r="B426" s="20"/>
      <c r="C426" s="14"/>
      <c r="D426" s="15"/>
      <c r="E426" s="16"/>
    </row>
    <row r="427">
      <c r="A427" s="11"/>
      <c r="B427" s="20"/>
      <c r="C427" s="14"/>
      <c r="D427" s="15"/>
      <c r="E427" s="16"/>
    </row>
    <row r="428">
      <c r="A428" s="11"/>
      <c r="B428" s="20"/>
      <c r="C428" s="14"/>
      <c r="D428" s="15"/>
      <c r="E428" s="16"/>
    </row>
    <row r="429">
      <c r="A429" s="11"/>
      <c r="B429" s="20"/>
      <c r="C429" s="14"/>
      <c r="D429" s="15"/>
      <c r="E429" s="16"/>
    </row>
    <row r="430">
      <c r="A430" s="11"/>
      <c r="B430" s="20"/>
      <c r="C430" s="14"/>
      <c r="D430" s="15"/>
      <c r="E430" s="16"/>
    </row>
    <row r="431">
      <c r="A431" s="11"/>
      <c r="B431" s="20"/>
      <c r="C431" s="14"/>
      <c r="D431" s="15"/>
      <c r="E431" s="16"/>
    </row>
    <row r="432">
      <c r="A432" s="11"/>
      <c r="B432" s="20"/>
      <c r="C432" s="14"/>
      <c r="D432" s="15"/>
      <c r="E432" s="16"/>
    </row>
    <row r="433">
      <c r="A433" s="11"/>
      <c r="B433" s="20"/>
      <c r="C433" s="14"/>
      <c r="D433" s="15"/>
      <c r="E433" s="16"/>
    </row>
    <row r="434">
      <c r="A434" s="11"/>
      <c r="B434" s="20"/>
      <c r="C434" s="14"/>
      <c r="D434" s="15"/>
      <c r="E434" s="16"/>
    </row>
    <row r="435">
      <c r="A435" s="11"/>
      <c r="B435" s="20"/>
      <c r="C435" s="14"/>
      <c r="D435" s="15"/>
      <c r="E435" s="16"/>
    </row>
    <row r="436">
      <c r="A436" s="11"/>
      <c r="B436" s="20"/>
      <c r="C436" s="14"/>
      <c r="D436" s="15"/>
      <c r="E436" s="16"/>
    </row>
    <row r="437">
      <c r="A437" s="11"/>
      <c r="B437" s="20"/>
      <c r="C437" s="14"/>
      <c r="D437" s="15"/>
      <c r="E437" s="16"/>
    </row>
    <row r="438">
      <c r="A438" s="11"/>
      <c r="B438" s="20"/>
      <c r="C438" s="14"/>
      <c r="D438" s="15"/>
      <c r="E438" s="16"/>
    </row>
    <row r="439">
      <c r="A439" s="11"/>
      <c r="B439" s="20"/>
      <c r="C439" s="14"/>
      <c r="D439" s="15"/>
      <c r="E439" s="16"/>
    </row>
    <row r="440">
      <c r="A440" s="11"/>
      <c r="B440" s="20"/>
      <c r="C440" s="14"/>
      <c r="D440" s="15"/>
      <c r="E440" s="16"/>
    </row>
    <row r="441">
      <c r="A441" s="11"/>
      <c r="B441" s="20"/>
      <c r="C441" s="14"/>
      <c r="D441" s="15"/>
      <c r="E441" s="16"/>
    </row>
    <row r="442">
      <c r="A442" s="11"/>
      <c r="B442" s="20"/>
      <c r="C442" s="14"/>
      <c r="D442" s="15"/>
      <c r="E442" s="16"/>
    </row>
    <row r="443">
      <c r="A443" s="11"/>
      <c r="B443" s="20"/>
      <c r="C443" s="14"/>
      <c r="D443" s="15"/>
      <c r="E443" s="16"/>
    </row>
    <row r="444">
      <c r="A444" s="11"/>
      <c r="B444" s="20"/>
      <c r="C444" s="14"/>
      <c r="D444" s="15"/>
      <c r="E444" s="16"/>
    </row>
    <row r="445">
      <c r="A445" s="11"/>
      <c r="B445" s="20"/>
      <c r="C445" s="14"/>
      <c r="D445" s="15"/>
      <c r="E445" s="16"/>
    </row>
    <row r="446">
      <c r="A446" s="11"/>
      <c r="B446" s="20"/>
      <c r="C446" s="14"/>
      <c r="D446" s="15"/>
      <c r="E446" s="16"/>
    </row>
    <row r="447">
      <c r="A447" s="11"/>
      <c r="B447" s="20"/>
      <c r="C447" s="14"/>
      <c r="D447" s="15"/>
      <c r="E447" s="16"/>
    </row>
    <row r="448">
      <c r="A448" s="11"/>
      <c r="B448" s="20"/>
      <c r="C448" s="14"/>
      <c r="D448" s="15"/>
      <c r="E448" s="16"/>
    </row>
    <row r="449">
      <c r="A449" s="11"/>
      <c r="B449" s="20"/>
      <c r="C449" s="14"/>
      <c r="D449" s="15"/>
      <c r="E449" s="16"/>
    </row>
    <row r="450">
      <c r="A450" s="11"/>
      <c r="B450" s="20"/>
      <c r="C450" s="14"/>
      <c r="D450" s="15"/>
      <c r="E450" s="16"/>
    </row>
    <row r="451">
      <c r="A451" s="11"/>
      <c r="B451" s="20"/>
      <c r="C451" s="14"/>
      <c r="D451" s="15"/>
      <c r="E451" s="16"/>
    </row>
    <row r="452">
      <c r="A452" s="11"/>
      <c r="B452" s="20"/>
      <c r="C452" s="14"/>
      <c r="D452" s="15"/>
      <c r="E452" s="16"/>
    </row>
    <row r="453">
      <c r="A453" s="11"/>
      <c r="B453" s="20"/>
      <c r="C453" s="14"/>
      <c r="D453" s="15"/>
      <c r="E453" s="16"/>
    </row>
    <row r="454">
      <c r="A454" s="11"/>
      <c r="B454" s="20"/>
      <c r="C454" s="14"/>
      <c r="D454" s="15"/>
      <c r="E454" s="16"/>
    </row>
    <row r="455">
      <c r="A455" s="11"/>
      <c r="B455" s="20"/>
      <c r="C455" s="14"/>
      <c r="D455" s="15"/>
      <c r="E455" s="16"/>
    </row>
    <row r="456">
      <c r="A456" s="11"/>
      <c r="B456" s="20"/>
      <c r="C456" s="14"/>
      <c r="D456" s="15"/>
      <c r="E456" s="16"/>
    </row>
    <row r="457">
      <c r="A457" s="11"/>
      <c r="B457" s="20"/>
      <c r="C457" s="14"/>
      <c r="D457" s="15"/>
      <c r="E457" s="16"/>
    </row>
    <row r="458">
      <c r="A458" s="11"/>
      <c r="B458" s="20"/>
      <c r="C458" s="14"/>
      <c r="D458" s="15"/>
      <c r="E458" s="16"/>
    </row>
    <row r="459">
      <c r="A459" s="11"/>
      <c r="B459" s="20"/>
      <c r="C459" s="14"/>
      <c r="D459" s="15"/>
      <c r="E459" s="16"/>
    </row>
    <row r="460">
      <c r="A460" s="11"/>
      <c r="B460" s="20"/>
      <c r="C460" s="14"/>
      <c r="D460" s="15"/>
      <c r="E460" s="16"/>
    </row>
    <row r="461">
      <c r="A461" s="11"/>
      <c r="B461" s="20"/>
      <c r="C461" s="14"/>
      <c r="D461" s="15"/>
      <c r="E461" s="16"/>
    </row>
    <row r="462">
      <c r="A462" s="11"/>
      <c r="B462" s="20"/>
      <c r="C462" s="14"/>
      <c r="D462" s="15"/>
      <c r="E462" s="16"/>
    </row>
    <row r="463">
      <c r="A463" s="11"/>
      <c r="B463" s="20"/>
      <c r="C463" s="14"/>
      <c r="D463" s="15"/>
      <c r="E463" s="16"/>
    </row>
    <row r="464">
      <c r="A464" s="11"/>
      <c r="B464" s="20"/>
      <c r="C464" s="14"/>
      <c r="D464" s="15"/>
      <c r="E464" s="16"/>
    </row>
    <row r="465">
      <c r="A465" s="11"/>
      <c r="B465" s="20"/>
      <c r="C465" s="14"/>
      <c r="D465" s="15"/>
      <c r="E465" s="16"/>
    </row>
    <row r="466">
      <c r="A466" s="11"/>
      <c r="B466" s="20"/>
      <c r="C466" s="14"/>
      <c r="D466" s="15"/>
      <c r="E466" s="16"/>
    </row>
    <row r="467">
      <c r="A467" s="11"/>
      <c r="B467" s="20"/>
      <c r="C467" s="14"/>
      <c r="D467" s="15"/>
      <c r="E467" s="16"/>
    </row>
    <row r="468">
      <c r="A468" s="11"/>
      <c r="B468" s="20"/>
      <c r="C468" s="14"/>
      <c r="D468" s="15"/>
      <c r="E468" s="16"/>
    </row>
    <row r="469">
      <c r="A469" s="11"/>
      <c r="B469" s="20"/>
      <c r="C469" s="14"/>
      <c r="D469" s="15"/>
      <c r="E469" s="16"/>
    </row>
    <row r="470">
      <c r="A470" s="11"/>
      <c r="B470" s="20"/>
      <c r="C470" s="14"/>
      <c r="D470" s="15"/>
      <c r="E470" s="16"/>
    </row>
    <row r="471">
      <c r="A471" s="11"/>
      <c r="B471" s="20"/>
      <c r="C471" s="14"/>
      <c r="D471" s="15"/>
      <c r="E471" s="16"/>
    </row>
    <row r="472">
      <c r="A472" s="11"/>
      <c r="B472" s="20"/>
      <c r="C472" s="14"/>
      <c r="D472" s="15"/>
      <c r="E472" s="16"/>
    </row>
    <row r="473">
      <c r="A473" s="11"/>
      <c r="B473" s="20"/>
      <c r="C473" s="14"/>
      <c r="D473" s="15"/>
      <c r="E473" s="16"/>
    </row>
    <row r="474">
      <c r="A474" s="11"/>
      <c r="B474" s="20"/>
      <c r="C474" s="14"/>
      <c r="D474" s="15"/>
      <c r="E474" s="16"/>
    </row>
    <row r="475">
      <c r="A475" s="11"/>
      <c r="B475" s="20"/>
      <c r="C475" s="14"/>
      <c r="D475" s="15"/>
      <c r="E475" s="16"/>
    </row>
    <row r="476">
      <c r="A476" s="11"/>
      <c r="B476" s="20"/>
      <c r="C476" s="14"/>
      <c r="D476" s="15"/>
      <c r="E476" s="16"/>
    </row>
    <row r="477">
      <c r="A477" s="11"/>
      <c r="B477" s="20"/>
      <c r="C477" s="14"/>
      <c r="D477" s="15"/>
      <c r="E477" s="16"/>
    </row>
    <row r="478">
      <c r="A478" s="11"/>
      <c r="B478" s="20"/>
      <c r="C478" s="14"/>
      <c r="D478" s="15"/>
      <c r="E478" s="16"/>
    </row>
    <row r="479">
      <c r="A479" s="11"/>
      <c r="B479" s="20"/>
      <c r="C479" s="14"/>
      <c r="D479" s="15"/>
      <c r="E479" s="16"/>
    </row>
    <row r="480">
      <c r="A480" s="11"/>
      <c r="B480" s="20"/>
      <c r="C480" s="14"/>
      <c r="D480" s="15"/>
      <c r="E480" s="16"/>
    </row>
    <row r="481">
      <c r="A481" s="11"/>
      <c r="B481" s="20"/>
      <c r="C481" s="14"/>
      <c r="D481" s="15"/>
      <c r="E481" s="16"/>
    </row>
    <row r="482">
      <c r="A482" s="11"/>
      <c r="B482" s="20"/>
      <c r="C482" s="14"/>
      <c r="D482" s="15"/>
      <c r="E482" s="16"/>
    </row>
    <row r="483">
      <c r="A483" s="11"/>
      <c r="B483" s="20"/>
      <c r="C483" s="14"/>
      <c r="D483" s="15"/>
      <c r="E483" s="16"/>
    </row>
    <row r="484">
      <c r="A484" s="11"/>
      <c r="B484" s="20"/>
      <c r="C484" s="14"/>
      <c r="D484" s="15"/>
      <c r="E484" s="16"/>
    </row>
    <row r="485">
      <c r="A485" s="11"/>
      <c r="B485" s="20"/>
      <c r="C485" s="14"/>
      <c r="D485" s="15"/>
      <c r="E485" s="16"/>
    </row>
    <row r="486">
      <c r="A486" s="11"/>
      <c r="B486" s="20"/>
      <c r="C486" s="14"/>
      <c r="D486" s="15"/>
      <c r="E486" s="16"/>
    </row>
    <row r="487">
      <c r="A487" s="11"/>
      <c r="B487" s="20"/>
      <c r="C487" s="14"/>
      <c r="D487" s="15"/>
      <c r="E487" s="16"/>
    </row>
    <row r="488">
      <c r="A488" s="11"/>
      <c r="B488" s="20"/>
      <c r="C488" s="14"/>
      <c r="D488" s="15"/>
      <c r="E488" s="16"/>
    </row>
    <row r="489">
      <c r="A489" s="11"/>
      <c r="B489" s="20"/>
      <c r="C489" s="14"/>
      <c r="D489" s="15"/>
      <c r="E489" s="16"/>
    </row>
    <row r="490">
      <c r="A490" s="11"/>
      <c r="B490" s="20"/>
      <c r="C490" s="14"/>
      <c r="D490" s="15"/>
      <c r="E490" s="16"/>
    </row>
    <row r="491">
      <c r="A491" s="11"/>
      <c r="B491" s="20"/>
      <c r="C491" s="14"/>
      <c r="D491" s="15"/>
      <c r="E491" s="16"/>
    </row>
    <row r="492">
      <c r="A492" s="11"/>
      <c r="B492" s="20"/>
      <c r="C492" s="14"/>
      <c r="D492" s="15"/>
      <c r="E492" s="16"/>
    </row>
    <row r="493">
      <c r="A493" s="11"/>
      <c r="B493" s="20"/>
      <c r="C493" s="14"/>
      <c r="D493" s="15"/>
      <c r="E493" s="16"/>
    </row>
    <row r="494">
      <c r="A494" s="11"/>
      <c r="B494" s="20"/>
      <c r="C494" s="14"/>
      <c r="D494" s="15"/>
      <c r="E494" s="16"/>
    </row>
    <row r="495">
      <c r="A495" s="11"/>
      <c r="B495" s="20"/>
      <c r="C495" s="14"/>
      <c r="D495" s="15"/>
      <c r="E495" s="16"/>
    </row>
    <row r="496">
      <c r="A496" s="11"/>
      <c r="B496" s="20"/>
      <c r="C496" s="14"/>
      <c r="D496" s="15"/>
      <c r="E496" s="16"/>
    </row>
    <row r="497">
      <c r="A497" s="11"/>
      <c r="B497" s="20"/>
      <c r="C497" s="14"/>
      <c r="D497" s="15"/>
      <c r="E497" s="16"/>
    </row>
    <row r="498">
      <c r="A498" s="11"/>
      <c r="B498" s="20"/>
      <c r="C498" s="14"/>
      <c r="D498" s="15"/>
      <c r="E498" s="16"/>
    </row>
    <row r="499">
      <c r="A499" s="11"/>
      <c r="B499" s="20"/>
      <c r="C499" s="14"/>
      <c r="D499" s="15"/>
      <c r="E499" s="16"/>
    </row>
    <row r="500">
      <c r="A500" s="11"/>
      <c r="B500" s="20"/>
      <c r="C500" s="14"/>
      <c r="D500" s="15"/>
      <c r="E500" s="16"/>
    </row>
    <row r="501">
      <c r="A501" s="11"/>
      <c r="B501" s="20"/>
      <c r="C501" s="14"/>
      <c r="D501" s="15"/>
      <c r="E501" s="16"/>
    </row>
    <row r="502">
      <c r="A502" s="11"/>
      <c r="B502" s="20"/>
      <c r="C502" s="14"/>
      <c r="D502" s="15"/>
      <c r="E502" s="16"/>
    </row>
    <row r="503">
      <c r="A503" s="11"/>
      <c r="B503" s="20"/>
      <c r="C503" s="14"/>
      <c r="D503" s="15"/>
      <c r="E503" s="16"/>
    </row>
    <row r="504">
      <c r="A504" s="11"/>
      <c r="B504" s="20"/>
      <c r="C504" s="14"/>
      <c r="D504" s="15"/>
      <c r="E504" s="16"/>
    </row>
    <row r="505">
      <c r="A505" s="11"/>
      <c r="B505" s="20"/>
      <c r="C505" s="14"/>
      <c r="D505" s="15"/>
      <c r="E505" s="16"/>
    </row>
    <row r="506">
      <c r="A506" s="11"/>
      <c r="B506" s="20"/>
      <c r="C506" s="14"/>
      <c r="D506" s="15"/>
      <c r="E506" s="16"/>
    </row>
    <row r="507">
      <c r="A507" s="11"/>
      <c r="B507" s="20"/>
      <c r="C507" s="14"/>
      <c r="D507" s="15"/>
      <c r="E507" s="16"/>
    </row>
    <row r="508">
      <c r="A508" s="11"/>
      <c r="B508" s="20"/>
      <c r="C508" s="14"/>
      <c r="D508" s="15"/>
      <c r="E508" s="16"/>
    </row>
    <row r="509">
      <c r="A509" s="11"/>
      <c r="B509" s="20"/>
      <c r="C509" s="14"/>
      <c r="D509" s="15"/>
      <c r="E509" s="16"/>
    </row>
    <row r="510">
      <c r="A510" s="11"/>
      <c r="B510" s="20"/>
      <c r="C510" s="14"/>
      <c r="D510" s="15"/>
      <c r="E510" s="16"/>
    </row>
    <row r="511">
      <c r="A511" s="11"/>
      <c r="B511" s="20"/>
      <c r="C511" s="14"/>
      <c r="D511" s="15"/>
      <c r="E511" s="16"/>
    </row>
    <row r="512">
      <c r="A512" s="11"/>
      <c r="B512" s="20"/>
      <c r="C512" s="14"/>
      <c r="D512" s="15"/>
      <c r="E512" s="16"/>
    </row>
    <row r="513">
      <c r="A513" s="11"/>
      <c r="B513" s="20"/>
      <c r="C513" s="14"/>
      <c r="D513" s="15"/>
      <c r="E513" s="16"/>
    </row>
    <row r="514">
      <c r="A514" s="11"/>
      <c r="B514" s="20"/>
      <c r="C514" s="14"/>
      <c r="D514" s="15"/>
      <c r="E514" s="16"/>
    </row>
    <row r="515">
      <c r="A515" s="11"/>
      <c r="B515" s="20"/>
      <c r="C515" s="14"/>
      <c r="D515" s="15"/>
      <c r="E515" s="16"/>
    </row>
    <row r="516">
      <c r="A516" s="11"/>
      <c r="B516" s="20"/>
      <c r="C516" s="14"/>
      <c r="D516" s="15"/>
      <c r="E516" s="16"/>
    </row>
    <row r="517">
      <c r="A517" s="11"/>
      <c r="B517" s="20"/>
      <c r="C517" s="14"/>
      <c r="D517" s="15"/>
      <c r="E517" s="16"/>
    </row>
    <row r="518">
      <c r="A518" s="11"/>
      <c r="B518" s="20"/>
      <c r="C518" s="14"/>
      <c r="D518" s="15"/>
      <c r="E518" s="16"/>
    </row>
    <row r="519">
      <c r="A519" s="11"/>
      <c r="B519" s="20"/>
      <c r="C519" s="14"/>
      <c r="D519" s="15"/>
      <c r="E519" s="16"/>
    </row>
    <row r="520">
      <c r="A520" s="11"/>
      <c r="B520" s="20"/>
      <c r="C520" s="14"/>
      <c r="D520" s="15"/>
      <c r="E520" s="16"/>
    </row>
    <row r="521">
      <c r="A521" s="11"/>
      <c r="B521" s="20"/>
      <c r="C521" s="14"/>
      <c r="D521" s="15"/>
      <c r="E521" s="16"/>
    </row>
    <row r="522">
      <c r="A522" s="11"/>
      <c r="B522" s="20"/>
      <c r="C522" s="14"/>
      <c r="D522" s="15"/>
      <c r="E522" s="16"/>
    </row>
    <row r="523">
      <c r="A523" s="11"/>
      <c r="B523" s="20"/>
      <c r="C523" s="14"/>
      <c r="D523" s="15"/>
      <c r="E523" s="16"/>
    </row>
    <row r="524">
      <c r="A524" s="11"/>
      <c r="B524" s="20"/>
      <c r="C524" s="14"/>
      <c r="D524" s="15"/>
      <c r="E524" s="16"/>
    </row>
    <row r="525">
      <c r="A525" s="11"/>
      <c r="B525" s="20"/>
      <c r="C525" s="14"/>
      <c r="D525" s="15"/>
      <c r="E525" s="16"/>
    </row>
    <row r="526">
      <c r="A526" s="11"/>
      <c r="B526" s="20"/>
      <c r="C526" s="14"/>
      <c r="D526" s="15"/>
      <c r="E526" s="16"/>
    </row>
    <row r="527">
      <c r="A527" s="11"/>
      <c r="B527" s="20"/>
      <c r="C527" s="14"/>
      <c r="D527" s="15"/>
      <c r="E527" s="16"/>
    </row>
    <row r="528">
      <c r="A528" s="11"/>
      <c r="B528" s="20"/>
      <c r="C528" s="14"/>
      <c r="D528" s="15"/>
      <c r="E528" s="16"/>
    </row>
    <row r="529">
      <c r="A529" s="11"/>
      <c r="B529" s="20"/>
      <c r="C529" s="14"/>
      <c r="D529" s="15"/>
      <c r="E529" s="16"/>
    </row>
    <row r="530">
      <c r="A530" s="11"/>
      <c r="B530" s="20"/>
      <c r="C530" s="14"/>
      <c r="D530" s="15"/>
      <c r="E530" s="16"/>
    </row>
    <row r="531">
      <c r="A531" s="11"/>
      <c r="B531" s="20"/>
      <c r="C531" s="14"/>
      <c r="D531" s="15"/>
      <c r="E531" s="16"/>
    </row>
    <row r="532">
      <c r="A532" s="11"/>
      <c r="B532" s="20"/>
      <c r="C532" s="14"/>
      <c r="D532" s="15"/>
      <c r="E532" s="16"/>
    </row>
    <row r="533">
      <c r="A533" s="11"/>
      <c r="B533" s="20"/>
      <c r="C533" s="14"/>
      <c r="D533" s="15"/>
      <c r="E533" s="16"/>
    </row>
    <row r="534">
      <c r="A534" s="11"/>
      <c r="B534" s="20"/>
      <c r="C534" s="14"/>
      <c r="D534" s="15"/>
      <c r="E534" s="16"/>
    </row>
    <row r="535">
      <c r="A535" s="11"/>
      <c r="B535" s="20"/>
      <c r="C535" s="14"/>
      <c r="D535" s="15"/>
      <c r="E535" s="16"/>
    </row>
    <row r="536">
      <c r="A536" s="11"/>
      <c r="B536" s="20"/>
      <c r="C536" s="14"/>
      <c r="D536" s="15"/>
      <c r="E536" s="16"/>
    </row>
    <row r="537">
      <c r="A537" s="11"/>
      <c r="B537" s="20"/>
      <c r="C537" s="14"/>
      <c r="D537" s="15"/>
      <c r="E537" s="16"/>
    </row>
    <row r="538">
      <c r="A538" s="11"/>
      <c r="B538" s="20"/>
      <c r="C538" s="14"/>
      <c r="D538" s="15"/>
      <c r="E538" s="16"/>
    </row>
    <row r="539">
      <c r="A539" s="11"/>
      <c r="B539" s="20"/>
      <c r="C539" s="14"/>
      <c r="D539" s="15"/>
      <c r="E539" s="16"/>
    </row>
    <row r="540">
      <c r="A540" s="11"/>
      <c r="B540" s="20"/>
      <c r="C540" s="14"/>
      <c r="D540" s="15"/>
      <c r="E540" s="16"/>
    </row>
    <row r="541">
      <c r="A541" s="11"/>
      <c r="B541" s="20"/>
      <c r="C541" s="14"/>
      <c r="D541" s="15"/>
      <c r="E541" s="16"/>
    </row>
    <row r="542">
      <c r="A542" s="11"/>
      <c r="B542" s="20"/>
      <c r="C542" s="14"/>
      <c r="D542" s="15"/>
      <c r="E542" s="16"/>
    </row>
    <row r="543">
      <c r="A543" s="11"/>
      <c r="B543" s="20"/>
      <c r="C543" s="14"/>
      <c r="D543" s="15"/>
      <c r="E543" s="16"/>
    </row>
    <row r="544">
      <c r="A544" s="11"/>
      <c r="B544" s="20"/>
      <c r="C544" s="14"/>
      <c r="D544" s="15"/>
      <c r="E544" s="16"/>
    </row>
    <row r="545">
      <c r="A545" s="11"/>
      <c r="B545" s="20"/>
      <c r="C545" s="14"/>
      <c r="D545" s="15"/>
      <c r="E545" s="16"/>
    </row>
    <row r="546">
      <c r="A546" s="11"/>
      <c r="B546" s="20"/>
      <c r="C546" s="14"/>
      <c r="D546" s="15"/>
      <c r="E546" s="16"/>
    </row>
    <row r="547">
      <c r="A547" s="11"/>
      <c r="B547" s="20"/>
      <c r="C547" s="14"/>
      <c r="D547" s="15"/>
      <c r="E547" s="16"/>
    </row>
    <row r="548">
      <c r="A548" s="11"/>
      <c r="B548" s="20"/>
      <c r="C548" s="14"/>
      <c r="D548" s="15"/>
      <c r="E548" s="16"/>
    </row>
    <row r="549">
      <c r="A549" s="11"/>
      <c r="B549" s="20"/>
      <c r="C549" s="14"/>
      <c r="D549" s="15"/>
      <c r="E549" s="16"/>
    </row>
    <row r="550">
      <c r="A550" s="11"/>
      <c r="B550" s="20"/>
      <c r="C550" s="14"/>
      <c r="D550" s="15"/>
      <c r="E550" s="16"/>
    </row>
    <row r="551">
      <c r="A551" s="11"/>
      <c r="B551" s="20"/>
      <c r="C551" s="14"/>
      <c r="D551" s="15"/>
      <c r="E551" s="16"/>
    </row>
    <row r="552">
      <c r="A552" s="11"/>
      <c r="B552" s="20"/>
      <c r="C552" s="14"/>
      <c r="D552" s="15"/>
      <c r="E552" s="16"/>
    </row>
    <row r="553">
      <c r="A553" s="11"/>
      <c r="B553" s="20"/>
      <c r="C553" s="14"/>
      <c r="D553" s="15"/>
      <c r="E553" s="16"/>
    </row>
    <row r="554">
      <c r="A554" s="11"/>
      <c r="B554" s="20"/>
      <c r="C554" s="14"/>
      <c r="D554" s="15"/>
      <c r="E554" s="16"/>
    </row>
    <row r="555">
      <c r="A555" s="11"/>
      <c r="B555" s="20"/>
      <c r="C555" s="14"/>
      <c r="D555" s="15"/>
      <c r="E555" s="16"/>
    </row>
    <row r="556">
      <c r="A556" s="11"/>
      <c r="B556" s="20"/>
      <c r="C556" s="14"/>
      <c r="D556" s="15"/>
      <c r="E556" s="16"/>
    </row>
    <row r="557">
      <c r="A557" s="11"/>
      <c r="B557" s="20"/>
      <c r="C557" s="14"/>
      <c r="D557" s="15"/>
      <c r="E557" s="16"/>
    </row>
    <row r="558">
      <c r="A558" s="11"/>
      <c r="B558" s="20"/>
      <c r="C558" s="14"/>
      <c r="D558" s="15"/>
      <c r="E558" s="16"/>
    </row>
    <row r="559">
      <c r="A559" s="11"/>
      <c r="B559" s="20"/>
      <c r="C559" s="14"/>
      <c r="D559" s="15"/>
      <c r="E559" s="16"/>
    </row>
    <row r="560">
      <c r="A560" s="11"/>
      <c r="B560" s="20"/>
      <c r="C560" s="14"/>
      <c r="D560" s="15"/>
      <c r="E560" s="16"/>
    </row>
    <row r="561">
      <c r="A561" s="11"/>
      <c r="B561" s="20"/>
      <c r="C561" s="14"/>
      <c r="D561" s="15"/>
      <c r="E561" s="16"/>
    </row>
    <row r="562">
      <c r="A562" s="11"/>
      <c r="B562" s="20"/>
      <c r="C562" s="14"/>
      <c r="D562" s="15"/>
      <c r="E562" s="16"/>
    </row>
    <row r="563">
      <c r="A563" s="11"/>
      <c r="B563" s="20"/>
      <c r="C563" s="14"/>
      <c r="D563" s="15"/>
      <c r="E563" s="16"/>
    </row>
    <row r="564">
      <c r="A564" s="11"/>
      <c r="B564" s="20"/>
      <c r="C564" s="14"/>
      <c r="D564" s="15"/>
      <c r="E564" s="16"/>
    </row>
    <row r="565">
      <c r="A565" s="11"/>
      <c r="B565" s="20"/>
      <c r="C565" s="14"/>
      <c r="D565" s="15"/>
      <c r="E565" s="16"/>
    </row>
    <row r="566">
      <c r="A566" s="11"/>
      <c r="B566" s="20"/>
      <c r="C566" s="14"/>
      <c r="D566" s="15"/>
      <c r="E566" s="16"/>
    </row>
    <row r="567">
      <c r="A567" s="11"/>
      <c r="B567" s="20"/>
      <c r="C567" s="14"/>
      <c r="D567" s="15"/>
      <c r="E567" s="16"/>
    </row>
    <row r="568">
      <c r="A568" s="11"/>
      <c r="B568" s="20"/>
      <c r="C568" s="14"/>
      <c r="D568" s="15"/>
      <c r="E568" s="16"/>
    </row>
    <row r="569">
      <c r="A569" s="11"/>
      <c r="B569" s="20"/>
      <c r="C569" s="14"/>
      <c r="D569" s="15"/>
      <c r="E569" s="16"/>
    </row>
    <row r="570">
      <c r="A570" s="11"/>
      <c r="B570" s="20"/>
      <c r="C570" s="14"/>
      <c r="D570" s="15"/>
      <c r="E570" s="16"/>
    </row>
    <row r="571">
      <c r="A571" s="11"/>
      <c r="B571" s="20"/>
      <c r="C571" s="14"/>
      <c r="D571" s="15"/>
      <c r="E571" s="16"/>
    </row>
    <row r="572">
      <c r="A572" s="11"/>
      <c r="B572" s="20"/>
      <c r="C572" s="14"/>
      <c r="D572" s="15"/>
      <c r="E572" s="16"/>
    </row>
    <row r="573">
      <c r="A573" s="11"/>
      <c r="B573" s="20"/>
      <c r="C573" s="14"/>
      <c r="D573" s="15"/>
      <c r="E573" s="16"/>
    </row>
    <row r="574">
      <c r="A574" s="11"/>
      <c r="B574" s="20"/>
      <c r="C574" s="14"/>
      <c r="D574" s="15"/>
      <c r="E574" s="16"/>
    </row>
    <row r="575">
      <c r="A575" s="11"/>
      <c r="B575" s="20"/>
      <c r="C575" s="14"/>
      <c r="D575" s="15"/>
      <c r="E575" s="16"/>
    </row>
    <row r="576">
      <c r="A576" s="11"/>
      <c r="B576" s="20"/>
      <c r="C576" s="14"/>
      <c r="D576" s="15"/>
      <c r="E576" s="16"/>
    </row>
    <row r="577">
      <c r="A577" s="11"/>
      <c r="B577" s="20"/>
      <c r="C577" s="14"/>
      <c r="D577" s="15"/>
      <c r="E577" s="16"/>
    </row>
    <row r="578">
      <c r="A578" s="11"/>
      <c r="B578" s="20"/>
      <c r="C578" s="14"/>
      <c r="D578" s="15"/>
      <c r="E578" s="16"/>
    </row>
    <row r="579">
      <c r="A579" s="11"/>
      <c r="B579" s="20"/>
      <c r="C579" s="14"/>
      <c r="D579" s="15"/>
      <c r="E579" s="16"/>
    </row>
    <row r="580">
      <c r="A580" s="11"/>
      <c r="B580" s="20"/>
      <c r="C580" s="14"/>
      <c r="D580" s="15"/>
      <c r="E580" s="16"/>
    </row>
    <row r="581">
      <c r="A581" s="11"/>
      <c r="B581" s="20"/>
      <c r="C581" s="14"/>
      <c r="D581" s="15"/>
      <c r="E581" s="16"/>
    </row>
    <row r="582">
      <c r="A582" s="11"/>
      <c r="B582" s="20"/>
      <c r="C582" s="14"/>
      <c r="D582" s="15"/>
      <c r="E582" s="16"/>
    </row>
    <row r="583">
      <c r="A583" s="11"/>
      <c r="B583" s="20"/>
      <c r="C583" s="14"/>
      <c r="D583" s="15"/>
      <c r="E583" s="16"/>
    </row>
    <row r="584">
      <c r="A584" s="11"/>
      <c r="B584" s="20"/>
      <c r="C584" s="14"/>
      <c r="D584" s="15"/>
      <c r="E584" s="16"/>
    </row>
    <row r="585">
      <c r="A585" s="11"/>
      <c r="B585" s="20"/>
      <c r="C585" s="14"/>
      <c r="D585" s="15"/>
      <c r="E585" s="16"/>
    </row>
    <row r="586">
      <c r="A586" s="11"/>
      <c r="B586" s="20"/>
      <c r="C586" s="14"/>
      <c r="D586" s="15"/>
      <c r="E586" s="16"/>
    </row>
    <row r="587">
      <c r="A587" s="11"/>
      <c r="B587" s="20"/>
      <c r="C587" s="14"/>
      <c r="D587" s="15"/>
      <c r="E587" s="16"/>
    </row>
    <row r="588">
      <c r="A588" s="11"/>
      <c r="B588" s="20"/>
      <c r="C588" s="14"/>
      <c r="D588" s="15"/>
      <c r="E588" s="16"/>
    </row>
    <row r="589">
      <c r="A589" s="11"/>
      <c r="B589" s="20"/>
      <c r="C589" s="14"/>
      <c r="D589" s="15"/>
      <c r="E589" s="16"/>
    </row>
    <row r="590">
      <c r="A590" s="11"/>
      <c r="B590" s="20"/>
      <c r="C590" s="14"/>
      <c r="D590" s="15"/>
      <c r="E590" s="16"/>
    </row>
    <row r="591">
      <c r="A591" s="11"/>
      <c r="B591" s="20"/>
      <c r="C591" s="14"/>
      <c r="D591" s="15"/>
      <c r="E591" s="16"/>
    </row>
    <row r="592">
      <c r="A592" s="11"/>
      <c r="B592" s="20"/>
      <c r="C592" s="14"/>
      <c r="D592" s="15"/>
      <c r="E592" s="16"/>
    </row>
    <row r="593">
      <c r="A593" s="11"/>
      <c r="B593" s="20"/>
      <c r="C593" s="14"/>
      <c r="D593" s="15"/>
      <c r="E593" s="16"/>
    </row>
    <row r="594">
      <c r="A594" s="11"/>
      <c r="B594" s="20"/>
      <c r="C594" s="14"/>
      <c r="D594" s="15"/>
      <c r="E594" s="16"/>
    </row>
    <row r="595">
      <c r="A595" s="11"/>
      <c r="B595" s="20"/>
      <c r="C595" s="14"/>
      <c r="D595" s="15"/>
      <c r="E595" s="16"/>
    </row>
    <row r="596">
      <c r="A596" s="11"/>
      <c r="B596" s="20"/>
      <c r="C596" s="14"/>
      <c r="D596" s="15"/>
      <c r="E596" s="16"/>
    </row>
    <row r="597">
      <c r="A597" s="11"/>
      <c r="B597" s="20"/>
      <c r="C597" s="14"/>
      <c r="D597" s="15"/>
      <c r="E597" s="16"/>
    </row>
    <row r="598">
      <c r="A598" s="11"/>
      <c r="B598" s="20"/>
      <c r="C598" s="14"/>
      <c r="D598" s="15"/>
      <c r="E598" s="16"/>
    </row>
    <row r="599">
      <c r="A599" s="11"/>
      <c r="B599" s="20"/>
      <c r="C599" s="14"/>
      <c r="D599" s="15"/>
      <c r="E599" s="16"/>
    </row>
    <row r="600">
      <c r="A600" s="11"/>
      <c r="B600" s="20"/>
      <c r="C600" s="14"/>
      <c r="D600" s="15"/>
      <c r="E600" s="16"/>
    </row>
    <row r="601">
      <c r="A601" s="11"/>
      <c r="B601" s="20"/>
      <c r="C601" s="14"/>
      <c r="D601" s="15"/>
      <c r="E601" s="16"/>
    </row>
    <row r="602">
      <c r="A602" s="11"/>
      <c r="B602" s="20"/>
      <c r="C602" s="14"/>
      <c r="D602" s="15"/>
      <c r="E602" s="16"/>
    </row>
    <row r="603">
      <c r="A603" s="11"/>
      <c r="B603" s="20"/>
      <c r="C603" s="14"/>
      <c r="D603" s="15"/>
      <c r="E603" s="16"/>
    </row>
    <row r="604">
      <c r="A604" s="11"/>
      <c r="B604" s="20"/>
      <c r="C604" s="14"/>
      <c r="D604" s="15"/>
      <c r="E604" s="16"/>
    </row>
    <row r="605">
      <c r="A605" s="11"/>
      <c r="B605" s="20"/>
      <c r="C605" s="14"/>
      <c r="D605" s="15"/>
      <c r="E605" s="16"/>
    </row>
    <row r="606">
      <c r="A606" s="11"/>
      <c r="B606" s="20"/>
      <c r="C606" s="14"/>
      <c r="D606" s="15"/>
      <c r="E606" s="16"/>
    </row>
    <row r="607">
      <c r="A607" s="11"/>
      <c r="B607" s="20"/>
      <c r="C607" s="14"/>
      <c r="D607" s="15"/>
      <c r="E607" s="16"/>
    </row>
    <row r="608">
      <c r="A608" s="11"/>
      <c r="B608" s="20"/>
      <c r="C608" s="14"/>
      <c r="D608" s="15"/>
      <c r="E608" s="16"/>
    </row>
    <row r="609">
      <c r="A609" s="11"/>
      <c r="B609" s="20"/>
      <c r="C609" s="14"/>
      <c r="D609" s="15"/>
      <c r="E609" s="16"/>
    </row>
    <row r="610">
      <c r="A610" s="11"/>
      <c r="B610" s="20"/>
      <c r="C610" s="14"/>
      <c r="D610" s="15"/>
      <c r="E610" s="16"/>
    </row>
    <row r="611">
      <c r="A611" s="11"/>
      <c r="B611" s="20"/>
      <c r="C611" s="14"/>
      <c r="D611" s="15"/>
      <c r="E611" s="16"/>
    </row>
    <row r="612">
      <c r="A612" s="11"/>
      <c r="B612" s="20"/>
      <c r="C612" s="14"/>
      <c r="D612" s="15"/>
      <c r="E612" s="16"/>
    </row>
    <row r="613">
      <c r="A613" s="11"/>
      <c r="B613" s="20"/>
      <c r="C613" s="14"/>
      <c r="D613" s="15"/>
      <c r="E613" s="16"/>
    </row>
    <row r="614">
      <c r="A614" s="11"/>
      <c r="B614" s="20"/>
      <c r="C614" s="14"/>
      <c r="D614" s="15"/>
      <c r="E614" s="16"/>
    </row>
    <row r="615">
      <c r="A615" s="11"/>
      <c r="B615" s="20"/>
      <c r="C615" s="14"/>
      <c r="D615" s="15"/>
      <c r="E615" s="16"/>
    </row>
    <row r="616">
      <c r="A616" s="11"/>
      <c r="B616" s="20"/>
      <c r="C616" s="14"/>
      <c r="D616" s="15"/>
      <c r="E616" s="16"/>
    </row>
    <row r="617">
      <c r="A617" s="11"/>
      <c r="B617" s="20"/>
      <c r="C617" s="14"/>
      <c r="D617" s="15"/>
      <c r="E617" s="16"/>
    </row>
    <row r="618">
      <c r="A618" s="11"/>
      <c r="B618" s="20"/>
      <c r="C618" s="14"/>
      <c r="D618" s="15"/>
      <c r="E618" s="16"/>
    </row>
    <row r="619">
      <c r="A619" s="11"/>
      <c r="B619" s="20"/>
      <c r="C619" s="14"/>
      <c r="D619" s="15"/>
      <c r="E619" s="16"/>
    </row>
    <row r="620">
      <c r="A620" s="11"/>
      <c r="B620" s="20"/>
      <c r="C620" s="14"/>
      <c r="D620" s="15"/>
      <c r="E620" s="16"/>
    </row>
    <row r="621">
      <c r="A621" s="11"/>
      <c r="B621" s="20"/>
      <c r="C621" s="14"/>
      <c r="D621" s="15"/>
      <c r="E621" s="16"/>
    </row>
    <row r="622">
      <c r="A622" s="11"/>
      <c r="B622" s="20"/>
      <c r="C622" s="14"/>
      <c r="D622" s="15"/>
      <c r="E622" s="16"/>
    </row>
    <row r="623">
      <c r="A623" s="11"/>
      <c r="B623" s="20"/>
      <c r="C623" s="14"/>
      <c r="D623" s="15"/>
      <c r="E623" s="16"/>
    </row>
    <row r="624">
      <c r="A624" s="11"/>
      <c r="B624" s="20"/>
      <c r="C624" s="14"/>
      <c r="D624" s="15"/>
      <c r="E624" s="16"/>
    </row>
    <row r="625">
      <c r="A625" s="11"/>
      <c r="B625" s="20"/>
      <c r="C625" s="14"/>
      <c r="D625" s="15"/>
      <c r="E625" s="16"/>
    </row>
    <row r="626">
      <c r="A626" s="11"/>
      <c r="B626" s="20"/>
      <c r="C626" s="14"/>
      <c r="D626" s="15"/>
      <c r="E626" s="16"/>
    </row>
    <row r="627">
      <c r="A627" s="11"/>
      <c r="B627" s="20"/>
      <c r="C627" s="14"/>
      <c r="D627" s="15"/>
      <c r="E627" s="16"/>
    </row>
    <row r="628">
      <c r="A628" s="11"/>
      <c r="B628" s="20"/>
      <c r="C628" s="14"/>
      <c r="D628" s="15"/>
      <c r="E628" s="16"/>
    </row>
    <row r="629">
      <c r="A629" s="11"/>
      <c r="B629" s="20"/>
      <c r="C629" s="14"/>
      <c r="D629" s="15"/>
      <c r="E629" s="16"/>
    </row>
    <row r="630">
      <c r="A630" s="11"/>
      <c r="B630" s="20"/>
      <c r="C630" s="14"/>
      <c r="D630" s="15"/>
      <c r="E630" s="16"/>
    </row>
    <row r="631">
      <c r="A631" s="11"/>
      <c r="B631" s="20"/>
      <c r="C631" s="14"/>
      <c r="D631" s="15"/>
      <c r="E631" s="16"/>
    </row>
    <row r="632">
      <c r="A632" s="11"/>
      <c r="B632" s="20"/>
      <c r="C632" s="14"/>
      <c r="D632" s="15"/>
      <c r="E632" s="16"/>
    </row>
    <row r="633">
      <c r="A633" s="11"/>
      <c r="B633" s="20"/>
      <c r="C633" s="14"/>
      <c r="D633" s="15"/>
      <c r="E633" s="16"/>
    </row>
    <row r="634">
      <c r="A634" s="11"/>
      <c r="B634" s="20"/>
      <c r="C634" s="14"/>
      <c r="D634" s="15"/>
      <c r="E634" s="16"/>
    </row>
    <row r="635">
      <c r="A635" s="11"/>
      <c r="B635" s="20"/>
      <c r="C635" s="14"/>
      <c r="D635" s="15"/>
      <c r="E635" s="16"/>
    </row>
    <row r="636">
      <c r="A636" s="11"/>
      <c r="B636" s="20"/>
      <c r="C636" s="14"/>
      <c r="D636" s="15"/>
      <c r="E636" s="16"/>
    </row>
    <row r="637">
      <c r="A637" s="11"/>
      <c r="B637" s="20"/>
      <c r="C637" s="14"/>
      <c r="D637" s="15"/>
      <c r="E637" s="16"/>
    </row>
    <row r="638">
      <c r="A638" s="11"/>
      <c r="B638" s="20"/>
      <c r="C638" s="14"/>
      <c r="D638" s="15"/>
      <c r="E638" s="16"/>
    </row>
    <row r="639">
      <c r="A639" s="11"/>
      <c r="B639" s="20"/>
      <c r="C639" s="14"/>
      <c r="D639" s="15"/>
      <c r="E639" s="16"/>
    </row>
    <row r="640">
      <c r="A640" s="11"/>
      <c r="B640" s="20"/>
      <c r="C640" s="14"/>
      <c r="D640" s="15"/>
      <c r="E640" s="16"/>
    </row>
    <row r="641">
      <c r="A641" s="11"/>
      <c r="B641" s="20"/>
      <c r="C641" s="14"/>
      <c r="D641" s="15"/>
      <c r="E641" s="16"/>
    </row>
    <row r="642">
      <c r="A642" s="11"/>
      <c r="B642" s="20"/>
      <c r="C642" s="14"/>
      <c r="D642" s="15"/>
      <c r="E642" s="16"/>
    </row>
    <row r="643">
      <c r="A643" s="11"/>
      <c r="B643" s="20"/>
      <c r="C643" s="14"/>
      <c r="D643" s="15"/>
      <c r="E643" s="16"/>
    </row>
    <row r="644">
      <c r="A644" s="11"/>
      <c r="B644" s="20"/>
      <c r="C644" s="14"/>
      <c r="D644" s="15"/>
      <c r="E644" s="16"/>
    </row>
    <row r="645">
      <c r="A645" s="11"/>
      <c r="B645" s="20"/>
      <c r="C645" s="14"/>
      <c r="D645" s="15"/>
      <c r="E645" s="16"/>
    </row>
    <row r="646">
      <c r="A646" s="11"/>
      <c r="B646" s="20"/>
      <c r="C646" s="14"/>
      <c r="D646" s="15"/>
      <c r="E646" s="16"/>
    </row>
    <row r="647">
      <c r="A647" s="11"/>
      <c r="B647" s="20"/>
      <c r="C647" s="14"/>
      <c r="D647" s="15"/>
      <c r="E647" s="16"/>
    </row>
    <row r="648">
      <c r="A648" s="11"/>
      <c r="B648" s="20"/>
      <c r="C648" s="14"/>
      <c r="D648" s="15"/>
      <c r="E648" s="16"/>
    </row>
    <row r="649">
      <c r="A649" s="11"/>
      <c r="B649" s="20"/>
      <c r="C649" s="14"/>
      <c r="D649" s="15"/>
      <c r="E649" s="16"/>
    </row>
    <row r="650">
      <c r="A650" s="11"/>
      <c r="B650" s="20"/>
      <c r="C650" s="14"/>
      <c r="D650" s="15"/>
      <c r="E650" s="16"/>
    </row>
    <row r="651">
      <c r="A651" s="11"/>
      <c r="B651" s="20"/>
      <c r="C651" s="14"/>
      <c r="D651" s="15"/>
      <c r="E651" s="16"/>
    </row>
    <row r="652">
      <c r="A652" s="11"/>
      <c r="B652" s="20"/>
      <c r="C652" s="14"/>
      <c r="D652" s="15"/>
      <c r="E652" s="16"/>
    </row>
    <row r="653">
      <c r="A653" s="11"/>
      <c r="B653" s="20"/>
      <c r="C653" s="14"/>
      <c r="D653" s="15"/>
      <c r="E653" s="16"/>
    </row>
    <row r="654">
      <c r="A654" s="11"/>
      <c r="B654" s="20"/>
      <c r="C654" s="14"/>
      <c r="D654" s="15"/>
      <c r="E654" s="16"/>
    </row>
    <row r="655">
      <c r="A655" s="11"/>
      <c r="B655" s="20"/>
      <c r="C655" s="14"/>
      <c r="D655" s="15"/>
      <c r="E655" s="16"/>
    </row>
    <row r="656">
      <c r="A656" s="11"/>
      <c r="B656" s="20"/>
      <c r="C656" s="14"/>
      <c r="D656" s="15"/>
      <c r="E656" s="16"/>
    </row>
    <row r="657">
      <c r="A657" s="11"/>
      <c r="B657" s="20"/>
      <c r="C657" s="14"/>
      <c r="D657" s="15"/>
      <c r="E657" s="16"/>
    </row>
    <row r="658">
      <c r="A658" s="11"/>
      <c r="B658" s="20"/>
      <c r="C658" s="14"/>
      <c r="D658" s="15"/>
      <c r="E658" s="16"/>
    </row>
    <row r="659">
      <c r="A659" s="11"/>
      <c r="B659" s="20"/>
      <c r="C659" s="14"/>
      <c r="D659" s="15"/>
      <c r="E659" s="16"/>
    </row>
    <row r="660">
      <c r="A660" s="11"/>
      <c r="B660" s="20"/>
      <c r="C660" s="14"/>
      <c r="D660" s="15"/>
      <c r="E660" s="16"/>
    </row>
    <row r="661">
      <c r="A661" s="11"/>
      <c r="B661" s="20"/>
      <c r="C661" s="14"/>
      <c r="D661" s="15"/>
      <c r="E661" s="16"/>
    </row>
    <row r="662">
      <c r="A662" s="11"/>
      <c r="B662" s="20"/>
      <c r="C662" s="14"/>
      <c r="D662" s="15"/>
      <c r="E662" s="16"/>
    </row>
    <row r="663">
      <c r="A663" s="11"/>
      <c r="B663" s="20"/>
      <c r="C663" s="14"/>
      <c r="D663" s="15"/>
      <c r="E663" s="16"/>
    </row>
    <row r="664">
      <c r="A664" s="11"/>
      <c r="B664" s="20"/>
      <c r="C664" s="14"/>
      <c r="D664" s="15"/>
      <c r="E664" s="16"/>
    </row>
    <row r="665">
      <c r="A665" s="11"/>
      <c r="B665" s="20"/>
      <c r="C665" s="14"/>
      <c r="D665" s="15"/>
      <c r="E665" s="16"/>
    </row>
    <row r="666">
      <c r="A666" s="11"/>
      <c r="B666" s="20"/>
      <c r="C666" s="14"/>
      <c r="D666" s="15"/>
      <c r="E666" s="16"/>
    </row>
    <row r="667">
      <c r="A667" s="11"/>
      <c r="B667" s="20"/>
      <c r="C667" s="14"/>
      <c r="D667" s="15"/>
      <c r="E667" s="16"/>
    </row>
    <row r="668">
      <c r="A668" s="11"/>
      <c r="B668" s="20"/>
      <c r="C668" s="14"/>
      <c r="D668" s="15"/>
      <c r="E668" s="16"/>
    </row>
    <row r="669">
      <c r="A669" s="11"/>
      <c r="B669" s="20"/>
      <c r="C669" s="14"/>
      <c r="D669" s="15"/>
      <c r="E669" s="16"/>
    </row>
    <row r="670">
      <c r="A670" s="11"/>
      <c r="B670" s="20"/>
      <c r="C670" s="14"/>
      <c r="D670" s="15"/>
      <c r="E670" s="16"/>
    </row>
    <row r="671">
      <c r="A671" s="11"/>
      <c r="B671" s="20"/>
      <c r="C671" s="14"/>
      <c r="D671" s="15"/>
      <c r="E671" s="16"/>
    </row>
    <row r="672">
      <c r="A672" s="11"/>
      <c r="B672" s="20"/>
      <c r="C672" s="14"/>
      <c r="D672" s="15"/>
      <c r="E672" s="16"/>
    </row>
    <row r="673">
      <c r="A673" s="11"/>
      <c r="B673" s="20"/>
      <c r="C673" s="14"/>
      <c r="D673" s="15"/>
      <c r="E673" s="16"/>
    </row>
    <row r="674">
      <c r="A674" s="11"/>
      <c r="B674" s="20"/>
      <c r="C674" s="14"/>
      <c r="D674" s="15"/>
      <c r="E674" s="16"/>
    </row>
    <row r="675">
      <c r="A675" s="11"/>
      <c r="B675" s="20"/>
      <c r="C675" s="14"/>
      <c r="D675" s="15"/>
      <c r="E675" s="16"/>
    </row>
    <row r="676">
      <c r="A676" s="11"/>
      <c r="B676" s="20"/>
      <c r="C676" s="14"/>
      <c r="D676" s="15"/>
      <c r="E676" s="16"/>
    </row>
    <row r="677">
      <c r="A677" s="11"/>
      <c r="B677" s="20"/>
      <c r="C677" s="14"/>
      <c r="D677" s="15"/>
      <c r="E677" s="16"/>
    </row>
    <row r="678">
      <c r="A678" s="11"/>
      <c r="B678" s="20"/>
      <c r="C678" s="14"/>
      <c r="D678" s="15"/>
      <c r="E678" s="16"/>
    </row>
    <row r="679">
      <c r="A679" s="11"/>
      <c r="B679" s="20"/>
      <c r="C679" s="14"/>
      <c r="D679" s="15"/>
      <c r="E679" s="16"/>
    </row>
    <row r="680">
      <c r="A680" s="11"/>
      <c r="B680" s="20"/>
      <c r="C680" s="14"/>
      <c r="D680" s="15"/>
      <c r="E680" s="16"/>
    </row>
    <row r="681">
      <c r="A681" s="11"/>
      <c r="B681" s="20"/>
      <c r="C681" s="14"/>
      <c r="D681" s="15"/>
      <c r="E681" s="16"/>
    </row>
    <row r="682">
      <c r="A682" s="11"/>
      <c r="B682" s="20"/>
      <c r="C682" s="14"/>
      <c r="D682" s="15"/>
      <c r="E682" s="16"/>
    </row>
    <row r="683">
      <c r="A683" s="11"/>
      <c r="B683" s="20"/>
      <c r="C683" s="14"/>
      <c r="D683" s="15"/>
      <c r="E683" s="16"/>
    </row>
    <row r="684">
      <c r="A684" s="11"/>
      <c r="B684" s="20"/>
      <c r="C684" s="14"/>
      <c r="D684" s="15"/>
      <c r="E684" s="16"/>
    </row>
    <row r="685">
      <c r="A685" s="11"/>
      <c r="B685" s="20"/>
      <c r="C685" s="14"/>
      <c r="D685" s="15"/>
      <c r="E685" s="16"/>
    </row>
    <row r="686">
      <c r="A686" s="11"/>
      <c r="B686" s="20"/>
      <c r="C686" s="14"/>
      <c r="D686" s="15"/>
      <c r="E686" s="16"/>
    </row>
    <row r="687">
      <c r="A687" s="11"/>
      <c r="B687" s="20"/>
      <c r="C687" s="14"/>
      <c r="D687" s="15"/>
      <c r="E687" s="16"/>
    </row>
    <row r="688">
      <c r="A688" s="11"/>
      <c r="B688" s="20"/>
      <c r="C688" s="14"/>
      <c r="D688" s="15"/>
      <c r="E688" s="16"/>
    </row>
    <row r="689">
      <c r="A689" s="11"/>
      <c r="B689" s="20"/>
      <c r="C689" s="14"/>
      <c r="D689" s="15"/>
      <c r="E689" s="16"/>
    </row>
    <row r="690">
      <c r="A690" s="11"/>
      <c r="B690" s="20"/>
      <c r="C690" s="14"/>
      <c r="D690" s="15"/>
      <c r="E690" s="16"/>
    </row>
    <row r="691">
      <c r="A691" s="11"/>
      <c r="B691" s="20"/>
      <c r="C691" s="14"/>
      <c r="D691" s="15"/>
      <c r="E691" s="16"/>
    </row>
    <row r="692">
      <c r="A692" s="11"/>
      <c r="B692" s="20"/>
      <c r="C692" s="14"/>
      <c r="D692" s="15"/>
      <c r="E692" s="16"/>
    </row>
    <row r="693">
      <c r="A693" s="11"/>
      <c r="B693" s="20"/>
      <c r="C693" s="14"/>
      <c r="D693" s="15"/>
      <c r="E693" s="16"/>
    </row>
    <row r="694">
      <c r="A694" s="11"/>
      <c r="B694" s="20"/>
      <c r="C694" s="14"/>
      <c r="D694" s="15"/>
      <c r="E694" s="16"/>
    </row>
    <row r="695">
      <c r="A695" s="11"/>
      <c r="B695" s="20"/>
      <c r="C695" s="14"/>
      <c r="D695" s="15"/>
      <c r="E695" s="16"/>
    </row>
    <row r="696">
      <c r="A696" s="11"/>
      <c r="B696" s="20"/>
      <c r="C696" s="14"/>
      <c r="D696" s="15"/>
      <c r="E696" s="16"/>
    </row>
    <row r="697">
      <c r="A697" s="11"/>
      <c r="B697" s="20"/>
      <c r="C697" s="14"/>
      <c r="D697" s="15"/>
      <c r="E697" s="16"/>
    </row>
    <row r="698">
      <c r="A698" s="11"/>
      <c r="B698" s="20"/>
      <c r="C698" s="14"/>
      <c r="D698" s="15"/>
      <c r="E698" s="16"/>
    </row>
    <row r="699">
      <c r="A699" s="11"/>
      <c r="B699" s="20"/>
      <c r="C699" s="14"/>
      <c r="D699" s="15"/>
      <c r="E699" s="16"/>
    </row>
    <row r="700">
      <c r="A700" s="11"/>
      <c r="B700" s="20"/>
      <c r="C700" s="14"/>
      <c r="D700" s="15"/>
      <c r="E700" s="16"/>
    </row>
    <row r="701">
      <c r="A701" s="11"/>
      <c r="B701" s="20"/>
      <c r="C701" s="14"/>
      <c r="D701" s="15"/>
      <c r="E701" s="16"/>
    </row>
    <row r="702">
      <c r="A702" s="11"/>
      <c r="B702" s="20"/>
      <c r="C702" s="14"/>
      <c r="D702" s="15"/>
      <c r="E702" s="16"/>
    </row>
    <row r="703">
      <c r="A703" s="11"/>
      <c r="B703" s="20"/>
      <c r="C703" s="14"/>
      <c r="D703" s="15"/>
      <c r="E703" s="16"/>
    </row>
    <row r="704">
      <c r="A704" s="11"/>
      <c r="B704" s="20"/>
      <c r="C704" s="14"/>
      <c r="D704" s="15"/>
      <c r="E704" s="16"/>
    </row>
    <row r="705">
      <c r="A705" s="11"/>
      <c r="B705" s="20"/>
      <c r="C705" s="14"/>
      <c r="D705" s="15"/>
      <c r="E705" s="16"/>
    </row>
    <row r="706">
      <c r="A706" s="11"/>
      <c r="B706" s="20"/>
      <c r="C706" s="14"/>
      <c r="D706" s="15"/>
      <c r="E706" s="16"/>
    </row>
    <row r="707">
      <c r="A707" s="11"/>
      <c r="B707" s="20"/>
      <c r="C707" s="14"/>
      <c r="D707" s="15"/>
      <c r="E707" s="16"/>
    </row>
    <row r="708">
      <c r="A708" s="11"/>
      <c r="B708" s="20"/>
      <c r="C708" s="14"/>
      <c r="D708" s="15"/>
      <c r="E708" s="16"/>
    </row>
    <row r="709">
      <c r="A709" s="11"/>
      <c r="B709" s="20"/>
      <c r="C709" s="14"/>
      <c r="D709" s="15"/>
      <c r="E709" s="16"/>
    </row>
    <row r="710">
      <c r="A710" s="11"/>
      <c r="B710" s="20"/>
      <c r="C710" s="14"/>
      <c r="D710" s="15"/>
      <c r="E710" s="16"/>
    </row>
    <row r="711">
      <c r="A711" s="11"/>
      <c r="B711" s="20"/>
      <c r="C711" s="14"/>
      <c r="D711" s="15"/>
      <c r="E711" s="16"/>
    </row>
    <row r="712">
      <c r="A712" s="11"/>
      <c r="B712" s="20"/>
      <c r="C712" s="14"/>
      <c r="D712" s="15"/>
      <c r="E712" s="16"/>
    </row>
    <row r="713">
      <c r="A713" s="11"/>
      <c r="B713" s="20"/>
      <c r="C713" s="14"/>
      <c r="D713" s="15"/>
      <c r="E713" s="16"/>
    </row>
    <row r="714">
      <c r="A714" s="11"/>
      <c r="B714" s="20"/>
      <c r="C714" s="14"/>
      <c r="D714" s="15"/>
      <c r="E714" s="16"/>
    </row>
    <row r="715">
      <c r="A715" s="11"/>
      <c r="B715" s="20"/>
      <c r="C715" s="14"/>
      <c r="D715" s="15"/>
      <c r="E715" s="16"/>
    </row>
    <row r="716">
      <c r="A716" s="11"/>
      <c r="B716" s="20"/>
      <c r="C716" s="14"/>
      <c r="D716" s="15"/>
      <c r="E716" s="16"/>
    </row>
    <row r="717">
      <c r="A717" s="11"/>
      <c r="B717" s="20"/>
      <c r="C717" s="14"/>
      <c r="D717" s="15"/>
      <c r="E717" s="16"/>
    </row>
    <row r="718">
      <c r="A718" s="11"/>
      <c r="B718" s="20"/>
      <c r="C718" s="14"/>
      <c r="D718" s="15"/>
      <c r="E718" s="16"/>
    </row>
    <row r="719">
      <c r="A719" s="11"/>
      <c r="B719" s="20"/>
      <c r="C719" s="14"/>
      <c r="D719" s="15"/>
      <c r="E719" s="16"/>
    </row>
    <row r="720">
      <c r="A720" s="11"/>
      <c r="B720" s="20"/>
      <c r="C720" s="14"/>
      <c r="D720" s="15"/>
      <c r="E720" s="16"/>
    </row>
    <row r="721">
      <c r="A721" s="11"/>
      <c r="B721" s="20"/>
      <c r="C721" s="14"/>
      <c r="D721" s="15"/>
      <c r="E721" s="16"/>
    </row>
    <row r="722">
      <c r="A722" s="11"/>
      <c r="B722" s="20"/>
      <c r="C722" s="14"/>
      <c r="D722" s="15"/>
      <c r="E722" s="16"/>
    </row>
    <row r="723">
      <c r="A723" s="11"/>
      <c r="B723" s="20"/>
      <c r="C723" s="14"/>
      <c r="D723" s="15"/>
      <c r="E723" s="16"/>
    </row>
    <row r="724">
      <c r="A724" s="11"/>
      <c r="B724" s="20"/>
      <c r="C724" s="14"/>
      <c r="D724" s="15"/>
      <c r="E724" s="16"/>
    </row>
    <row r="725">
      <c r="A725" s="11"/>
      <c r="B725" s="20"/>
      <c r="C725" s="14"/>
      <c r="D725" s="15"/>
      <c r="E725" s="16"/>
    </row>
    <row r="726">
      <c r="A726" s="11"/>
      <c r="B726" s="20"/>
      <c r="C726" s="14"/>
      <c r="D726" s="15"/>
      <c r="E726" s="16"/>
    </row>
    <row r="727">
      <c r="A727" s="11"/>
      <c r="B727" s="20"/>
      <c r="C727" s="14"/>
      <c r="D727" s="15"/>
      <c r="E727" s="16"/>
    </row>
    <row r="728">
      <c r="A728" s="11"/>
      <c r="B728" s="20"/>
      <c r="C728" s="14"/>
      <c r="D728" s="15"/>
      <c r="E728" s="16"/>
    </row>
    <row r="729">
      <c r="A729" s="11"/>
      <c r="B729" s="20"/>
      <c r="C729" s="14"/>
      <c r="D729" s="15"/>
      <c r="E729" s="16"/>
    </row>
    <row r="730">
      <c r="A730" s="11"/>
      <c r="B730" s="20"/>
      <c r="C730" s="14"/>
      <c r="D730" s="15"/>
      <c r="E730" s="16"/>
    </row>
    <row r="731">
      <c r="A731" s="11"/>
      <c r="B731" s="20"/>
      <c r="C731" s="14"/>
      <c r="D731" s="15"/>
      <c r="E731" s="16"/>
    </row>
    <row r="732">
      <c r="A732" s="11"/>
      <c r="B732" s="20"/>
      <c r="C732" s="14"/>
      <c r="D732" s="15"/>
      <c r="E732" s="16"/>
    </row>
    <row r="733">
      <c r="A733" s="11"/>
      <c r="B733" s="20"/>
      <c r="C733" s="14"/>
      <c r="D733" s="15"/>
      <c r="E733" s="16"/>
    </row>
    <row r="734">
      <c r="A734" s="11"/>
      <c r="B734" s="20"/>
      <c r="C734" s="14"/>
      <c r="D734" s="15"/>
      <c r="E734" s="16"/>
    </row>
    <row r="735">
      <c r="A735" s="11"/>
      <c r="B735" s="20"/>
      <c r="C735" s="14"/>
      <c r="D735" s="15"/>
      <c r="E735" s="16"/>
    </row>
    <row r="736">
      <c r="A736" s="11"/>
      <c r="B736" s="20"/>
      <c r="C736" s="14"/>
      <c r="D736" s="15"/>
      <c r="E736" s="16"/>
    </row>
    <row r="737">
      <c r="A737" s="11"/>
      <c r="B737" s="20"/>
      <c r="C737" s="14"/>
      <c r="D737" s="15"/>
      <c r="E737" s="16"/>
    </row>
    <row r="738">
      <c r="A738" s="11"/>
      <c r="B738" s="20"/>
      <c r="C738" s="14"/>
      <c r="D738" s="15"/>
      <c r="E738" s="16"/>
    </row>
    <row r="739">
      <c r="A739" s="11"/>
      <c r="B739" s="20"/>
      <c r="C739" s="14"/>
      <c r="D739" s="15"/>
      <c r="E739" s="16"/>
    </row>
    <row r="740">
      <c r="A740" s="11"/>
      <c r="B740" s="20"/>
      <c r="C740" s="14"/>
      <c r="D740" s="15"/>
      <c r="E740" s="16"/>
    </row>
    <row r="741">
      <c r="A741" s="11"/>
      <c r="B741" s="20"/>
      <c r="C741" s="14"/>
      <c r="D741" s="15"/>
      <c r="E741" s="16"/>
    </row>
    <row r="742">
      <c r="A742" s="11"/>
      <c r="B742" s="20"/>
      <c r="C742" s="14"/>
      <c r="D742" s="15"/>
      <c r="E742" s="16"/>
    </row>
    <row r="743">
      <c r="A743" s="11"/>
      <c r="B743" s="20"/>
      <c r="C743" s="14"/>
      <c r="D743" s="15"/>
      <c r="E743" s="16"/>
    </row>
    <row r="744">
      <c r="A744" s="11"/>
      <c r="B744" s="20"/>
      <c r="C744" s="14"/>
      <c r="D744" s="15"/>
      <c r="E744" s="16"/>
    </row>
    <row r="745">
      <c r="A745" s="11"/>
      <c r="B745" s="20"/>
      <c r="C745" s="14"/>
      <c r="D745" s="15"/>
      <c r="E745" s="16"/>
    </row>
    <row r="746">
      <c r="A746" s="11"/>
      <c r="B746" s="20"/>
      <c r="C746" s="14"/>
      <c r="D746" s="15"/>
      <c r="E746" s="16"/>
    </row>
    <row r="747">
      <c r="A747" s="11"/>
      <c r="B747" s="20"/>
      <c r="C747" s="14"/>
      <c r="D747" s="15"/>
      <c r="E747" s="16"/>
    </row>
    <row r="748">
      <c r="A748" s="11"/>
      <c r="B748" s="20"/>
      <c r="C748" s="14"/>
      <c r="D748" s="15"/>
      <c r="E748" s="16"/>
    </row>
    <row r="749">
      <c r="A749" s="11"/>
      <c r="B749" s="20"/>
      <c r="C749" s="14"/>
      <c r="D749" s="15"/>
      <c r="E749" s="16"/>
    </row>
    <row r="750">
      <c r="A750" s="11"/>
      <c r="B750" s="20"/>
      <c r="C750" s="14"/>
      <c r="D750" s="15"/>
      <c r="E750" s="16"/>
    </row>
    <row r="751">
      <c r="A751" s="11"/>
      <c r="B751" s="20"/>
      <c r="C751" s="14"/>
      <c r="D751" s="15"/>
      <c r="E751" s="16"/>
    </row>
    <row r="752">
      <c r="A752" s="11"/>
      <c r="B752" s="20"/>
      <c r="C752" s="14"/>
      <c r="D752" s="15"/>
      <c r="E752" s="16"/>
    </row>
    <row r="753">
      <c r="A753" s="11"/>
      <c r="B753" s="20"/>
      <c r="C753" s="14"/>
      <c r="D753" s="15"/>
      <c r="E753" s="16"/>
    </row>
    <row r="754">
      <c r="A754" s="11"/>
      <c r="B754" s="20"/>
      <c r="C754" s="14"/>
      <c r="D754" s="15"/>
      <c r="E754" s="16"/>
    </row>
    <row r="755">
      <c r="A755" s="11"/>
      <c r="B755" s="20"/>
      <c r="C755" s="14"/>
      <c r="D755" s="15"/>
      <c r="E755" s="16"/>
    </row>
    <row r="756">
      <c r="A756" s="11"/>
      <c r="B756" s="20"/>
      <c r="C756" s="14"/>
      <c r="D756" s="15"/>
      <c r="E756" s="16"/>
    </row>
    <row r="757">
      <c r="A757" s="11"/>
      <c r="B757" s="20"/>
      <c r="C757" s="14"/>
      <c r="D757" s="15"/>
      <c r="E757" s="16"/>
    </row>
    <row r="758">
      <c r="A758" s="11"/>
      <c r="B758" s="20"/>
      <c r="C758" s="14"/>
      <c r="D758" s="15"/>
      <c r="E758" s="16"/>
    </row>
    <row r="759">
      <c r="A759" s="11"/>
      <c r="B759" s="20"/>
      <c r="C759" s="14"/>
      <c r="D759" s="15"/>
      <c r="E759" s="16"/>
    </row>
    <row r="760">
      <c r="A760" s="11"/>
      <c r="B760" s="20"/>
      <c r="C760" s="14"/>
      <c r="D760" s="15"/>
      <c r="E760" s="16"/>
    </row>
    <row r="761">
      <c r="A761" s="11"/>
      <c r="B761" s="20"/>
      <c r="C761" s="14"/>
      <c r="D761" s="15"/>
      <c r="E761" s="16"/>
    </row>
    <row r="762">
      <c r="A762" s="11"/>
      <c r="B762" s="20"/>
      <c r="C762" s="14"/>
      <c r="D762" s="15"/>
      <c r="E762" s="16"/>
    </row>
    <row r="763">
      <c r="A763" s="11"/>
      <c r="B763" s="20"/>
      <c r="C763" s="14"/>
      <c r="D763" s="15"/>
      <c r="E763" s="16"/>
    </row>
    <row r="764">
      <c r="A764" s="11"/>
      <c r="B764" s="20"/>
      <c r="C764" s="14"/>
      <c r="D764" s="15"/>
      <c r="E764" s="16"/>
    </row>
    <row r="765">
      <c r="A765" s="11"/>
      <c r="B765" s="20"/>
      <c r="C765" s="14"/>
      <c r="D765" s="15"/>
      <c r="E765" s="16"/>
    </row>
    <row r="766">
      <c r="A766" s="11"/>
      <c r="B766" s="20"/>
      <c r="C766" s="14"/>
      <c r="D766" s="15"/>
      <c r="E766" s="16"/>
    </row>
    <row r="767">
      <c r="A767" s="11"/>
      <c r="B767" s="20"/>
      <c r="C767" s="14"/>
      <c r="D767" s="15"/>
      <c r="E767" s="16"/>
    </row>
    <row r="768">
      <c r="A768" s="11"/>
      <c r="B768" s="20"/>
      <c r="C768" s="14"/>
      <c r="D768" s="15"/>
      <c r="E768" s="16"/>
    </row>
    <row r="769">
      <c r="A769" s="11"/>
      <c r="B769" s="20"/>
      <c r="C769" s="14"/>
      <c r="D769" s="15"/>
      <c r="E769" s="16"/>
    </row>
    <row r="770">
      <c r="A770" s="11"/>
      <c r="B770" s="20"/>
      <c r="C770" s="14"/>
      <c r="D770" s="15"/>
      <c r="E770" s="16"/>
    </row>
    <row r="771">
      <c r="A771" s="11"/>
      <c r="B771" s="20"/>
      <c r="C771" s="14"/>
      <c r="D771" s="15"/>
      <c r="E771" s="16"/>
    </row>
    <row r="772">
      <c r="A772" s="11"/>
      <c r="B772" s="20"/>
      <c r="C772" s="14"/>
      <c r="D772" s="15"/>
      <c r="E772" s="16"/>
    </row>
    <row r="773">
      <c r="A773" s="11"/>
      <c r="B773" s="20"/>
      <c r="C773" s="14"/>
      <c r="D773" s="15"/>
      <c r="E773" s="16"/>
    </row>
    <row r="774">
      <c r="A774" s="11"/>
      <c r="B774" s="20"/>
      <c r="C774" s="14"/>
      <c r="D774" s="15"/>
      <c r="E774" s="16"/>
    </row>
    <row r="775">
      <c r="A775" s="11"/>
      <c r="B775" s="20"/>
      <c r="C775" s="14"/>
      <c r="D775" s="15"/>
      <c r="E775" s="16"/>
    </row>
    <row r="776">
      <c r="A776" s="11"/>
      <c r="B776" s="20"/>
      <c r="C776" s="14"/>
      <c r="D776" s="15"/>
      <c r="E776" s="16"/>
    </row>
    <row r="777">
      <c r="A777" s="11"/>
      <c r="B777" s="20"/>
      <c r="C777" s="14"/>
      <c r="D777" s="15"/>
      <c r="E777" s="16"/>
    </row>
    <row r="778">
      <c r="A778" s="11"/>
      <c r="B778" s="20"/>
      <c r="C778" s="14"/>
      <c r="D778" s="15"/>
      <c r="E778" s="16"/>
    </row>
    <row r="779">
      <c r="A779" s="11"/>
      <c r="B779" s="20"/>
      <c r="C779" s="14"/>
      <c r="D779" s="15"/>
      <c r="E779" s="16"/>
    </row>
    <row r="780">
      <c r="A780" s="11"/>
      <c r="B780" s="20"/>
      <c r="C780" s="14"/>
      <c r="D780" s="15"/>
      <c r="E780" s="16"/>
    </row>
    <row r="781">
      <c r="A781" s="11"/>
      <c r="B781" s="20"/>
      <c r="C781" s="14"/>
      <c r="D781" s="15"/>
      <c r="E781" s="16"/>
    </row>
    <row r="782">
      <c r="A782" s="11"/>
      <c r="B782" s="20"/>
      <c r="C782" s="14"/>
      <c r="D782" s="15"/>
      <c r="E782" s="16"/>
    </row>
    <row r="783">
      <c r="A783" s="11"/>
      <c r="B783" s="20"/>
      <c r="C783" s="14"/>
      <c r="D783" s="15"/>
      <c r="E783" s="16"/>
    </row>
    <row r="784">
      <c r="A784" s="11"/>
      <c r="B784" s="20"/>
      <c r="C784" s="14"/>
      <c r="D784" s="15"/>
      <c r="E784" s="16"/>
    </row>
    <row r="785">
      <c r="A785" s="11"/>
      <c r="B785" s="20"/>
      <c r="C785" s="14"/>
      <c r="D785" s="15"/>
      <c r="E785" s="16"/>
    </row>
    <row r="786">
      <c r="A786" s="11"/>
      <c r="B786" s="20"/>
      <c r="C786" s="14"/>
      <c r="D786" s="15"/>
      <c r="E786" s="16"/>
    </row>
    <row r="787">
      <c r="A787" s="11"/>
      <c r="B787" s="20"/>
      <c r="C787" s="14"/>
      <c r="D787" s="15"/>
      <c r="E787" s="16"/>
    </row>
    <row r="788">
      <c r="A788" s="11"/>
      <c r="B788" s="20"/>
      <c r="C788" s="14"/>
      <c r="D788" s="15"/>
      <c r="E788" s="16"/>
    </row>
    <row r="789">
      <c r="A789" s="11"/>
      <c r="B789" s="20"/>
      <c r="C789" s="14"/>
      <c r="D789" s="15"/>
      <c r="E789" s="16"/>
    </row>
    <row r="790">
      <c r="A790" s="11"/>
      <c r="B790" s="20"/>
      <c r="C790" s="14"/>
      <c r="D790" s="15"/>
      <c r="E790" s="16"/>
    </row>
    <row r="791">
      <c r="A791" s="11"/>
      <c r="B791" s="20"/>
      <c r="C791" s="14"/>
      <c r="D791" s="15"/>
      <c r="E791" s="16"/>
    </row>
    <row r="792">
      <c r="A792" s="11"/>
      <c r="B792" s="20"/>
      <c r="C792" s="14"/>
      <c r="D792" s="15"/>
      <c r="E792" s="16"/>
    </row>
    <row r="793">
      <c r="A793" s="11"/>
      <c r="B793" s="20"/>
      <c r="C793" s="14"/>
      <c r="D793" s="15"/>
      <c r="E793" s="16"/>
    </row>
    <row r="794">
      <c r="A794" s="11"/>
      <c r="B794" s="20"/>
      <c r="C794" s="14"/>
      <c r="D794" s="15"/>
      <c r="E794" s="16"/>
    </row>
    <row r="795">
      <c r="A795" s="11"/>
      <c r="B795" s="20"/>
      <c r="C795" s="14"/>
      <c r="D795" s="15"/>
      <c r="E795" s="16"/>
    </row>
    <row r="796">
      <c r="A796" s="11"/>
      <c r="B796" s="20"/>
      <c r="C796" s="14"/>
      <c r="D796" s="15"/>
      <c r="E796" s="16"/>
    </row>
    <row r="797">
      <c r="A797" s="11"/>
      <c r="B797" s="20"/>
      <c r="C797" s="14"/>
      <c r="D797" s="15"/>
      <c r="E797" s="16"/>
    </row>
    <row r="798">
      <c r="A798" s="11"/>
      <c r="B798" s="20"/>
      <c r="C798" s="14"/>
      <c r="D798" s="15"/>
      <c r="E798" s="16"/>
    </row>
    <row r="799">
      <c r="A799" s="11"/>
      <c r="B799" s="20"/>
      <c r="C799" s="14"/>
      <c r="D799" s="15"/>
      <c r="E799" s="16"/>
    </row>
    <row r="800">
      <c r="A800" s="11"/>
      <c r="B800" s="20"/>
      <c r="C800" s="14"/>
      <c r="D800" s="15"/>
      <c r="E800" s="16"/>
    </row>
    <row r="801">
      <c r="A801" s="11"/>
      <c r="B801" s="20"/>
      <c r="C801" s="14"/>
      <c r="D801" s="15"/>
      <c r="E801" s="16"/>
    </row>
    <row r="802">
      <c r="A802" s="11"/>
      <c r="B802" s="20"/>
      <c r="C802" s="14"/>
      <c r="D802" s="15"/>
      <c r="E802" s="16"/>
    </row>
    <row r="803">
      <c r="A803" s="11"/>
      <c r="B803" s="20"/>
      <c r="C803" s="14"/>
      <c r="D803" s="15"/>
      <c r="E803" s="16"/>
    </row>
    <row r="804">
      <c r="A804" s="11"/>
      <c r="B804" s="20"/>
      <c r="C804" s="14"/>
      <c r="D804" s="15"/>
      <c r="E804" s="16"/>
    </row>
    <row r="805">
      <c r="A805" s="11"/>
      <c r="B805" s="20"/>
      <c r="C805" s="14"/>
      <c r="D805" s="15"/>
      <c r="E805" s="16"/>
    </row>
    <row r="806">
      <c r="A806" s="11"/>
      <c r="B806" s="20"/>
      <c r="C806" s="14"/>
      <c r="D806" s="15"/>
      <c r="E806" s="16"/>
    </row>
    <row r="807">
      <c r="A807" s="11"/>
      <c r="B807" s="20"/>
      <c r="C807" s="14"/>
      <c r="D807" s="15"/>
      <c r="E807" s="16"/>
    </row>
    <row r="808">
      <c r="A808" s="11"/>
      <c r="B808" s="20"/>
      <c r="C808" s="14"/>
      <c r="D808" s="15"/>
      <c r="E808" s="16"/>
    </row>
    <row r="809">
      <c r="A809" s="11"/>
      <c r="B809" s="20"/>
      <c r="C809" s="14"/>
      <c r="D809" s="15"/>
      <c r="E809" s="16"/>
    </row>
    <row r="810">
      <c r="A810" s="11"/>
      <c r="B810" s="20"/>
      <c r="C810" s="14"/>
      <c r="D810" s="15"/>
      <c r="E810" s="16"/>
    </row>
    <row r="811">
      <c r="A811" s="11"/>
      <c r="B811" s="20"/>
      <c r="C811" s="14"/>
      <c r="D811" s="15"/>
      <c r="E811" s="16"/>
    </row>
    <row r="812">
      <c r="A812" s="11"/>
      <c r="B812" s="20"/>
      <c r="C812" s="14"/>
      <c r="D812" s="15"/>
      <c r="E812" s="16"/>
    </row>
    <row r="813">
      <c r="A813" s="11"/>
      <c r="B813" s="20"/>
      <c r="C813" s="14"/>
      <c r="D813" s="15"/>
      <c r="E813" s="16"/>
    </row>
    <row r="814">
      <c r="A814" s="11"/>
      <c r="B814" s="20"/>
      <c r="C814" s="14"/>
      <c r="D814" s="15"/>
      <c r="E814" s="16"/>
    </row>
    <row r="815">
      <c r="A815" s="11"/>
      <c r="B815" s="20"/>
      <c r="C815" s="14"/>
      <c r="D815" s="15"/>
      <c r="E815" s="16"/>
    </row>
    <row r="816">
      <c r="A816" s="11"/>
      <c r="B816" s="20"/>
      <c r="C816" s="14"/>
      <c r="D816" s="15"/>
      <c r="E816" s="16"/>
    </row>
    <row r="817">
      <c r="A817" s="11"/>
      <c r="B817" s="20"/>
      <c r="C817" s="14"/>
      <c r="D817" s="15"/>
      <c r="E817" s="16"/>
    </row>
    <row r="818">
      <c r="A818" s="11"/>
      <c r="B818" s="20"/>
      <c r="C818" s="14"/>
      <c r="D818" s="15"/>
      <c r="E818" s="16"/>
    </row>
    <row r="819">
      <c r="A819" s="11"/>
      <c r="B819" s="20"/>
      <c r="C819" s="14"/>
      <c r="D819" s="15"/>
      <c r="E819" s="16"/>
    </row>
    <row r="820">
      <c r="A820" s="11"/>
      <c r="B820" s="20"/>
      <c r="C820" s="14"/>
      <c r="D820" s="15"/>
      <c r="E820" s="16"/>
    </row>
    <row r="821">
      <c r="A821" s="11"/>
      <c r="B821" s="20"/>
      <c r="C821" s="14"/>
      <c r="D821" s="15"/>
      <c r="E821" s="16"/>
    </row>
    <row r="822">
      <c r="A822" s="11"/>
      <c r="B822" s="20"/>
      <c r="C822" s="14"/>
      <c r="D822" s="15"/>
      <c r="E822" s="16"/>
    </row>
    <row r="823">
      <c r="A823" s="11"/>
      <c r="B823" s="20"/>
      <c r="C823" s="14"/>
      <c r="D823" s="15"/>
      <c r="E823" s="16"/>
    </row>
    <row r="824">
      <c r="A824" s="11"/>
      <c r="B824" s="20"/>
      <c r="C824" s="14"/>
      <c r="D824" s="15"/>
      <c r="E824" s="16"/>
    </row>
    <row r="825">
      <c r="A825" s="11"/>
      <c r="B825" s="20"/>
      <c r="C825" s="14"/>
      <c r="D825" s="15"/>
      <c r="E825" s="16"/>
    </row>
    <row r="826">
      <c r="A826" s="11"/>
      <c r="B826" s="20"/>
      <c r="C826" s="14"/>
      <c r="D826" s="15"/>
      <c r="E826" s="16"/>
    </row>
    <row r="827">
      <c r="A827" s="11"/>
      <c r="B827" s="20"/>
      <c r="C827" s="14"/>
      <c r="D827" s="15"/>
      <c r="E827" s="16"/>
    </row>
    <row r="828">
      <c r="A828" s="11"/>
      <c r="B828" s="20"/>
      <c r="C828" s="14"/>
      <c r="D828" s="15"/>
      <c r="E828" s="16"/>
    </row>
    <row r="829">
      <c r="A829" s="11"/>
      <c r="B829" s="20"/>
      <c r="C829" s="14"/>
      <c r="D829" s="15"/>
      <c r="E829" s="16"/>
    </row>
    <row r="830">
      <c r="A830" s="11"/>
      <c r="B830" s="20"/>
      <c r="C830" s="14"/>
      <c r="D830" s="15"/>
      <c r="E830" s="16"/>
    </row>
    <row r="831">
      <c r="A831" s="11"/>
      <c r="B831" s="20"/>
      <c r="C831" s="14"/>
      <c r="D831" s="15"/>
      <c r="E831" s="16"/>
    </row>
    <row r="832">
      <c r="A832" s="11"/>
      <c r="B832" s="20"/>
      <c r="C832" s="14"/>
      <c r="D832" s="15"/>
      <c r="E832" s="16"/>
    </row>
    <row r="833">
      <c r="A833" s="11"/>
      <c r="B833" s="20"/>
      <c r="C833" s="14"/>
      <c r="D833" s="15"/>
      <c r="E833" s="16"/>
    </row>
    <row r="834">
      <c r="A834" s="11"/>
      <c r="B834" s="20"/>
      <c r="C834" s="14"/>
      <c r="D834" s="15"/>
      <c r="E834" s="16"/>
    </row>
    <row r="835">
      <c r="A835" s="11"/>
      <c r="B835" s="20"/>
      <c r="C835" s="14"/>
      <c r="D835" s="15"/>
      <c r="E835" s="16"/>
    </row>
    <row r="836">
      <c r="A836" s="11"/>
      <c r="B836" s="20"/>
      <c r="C836" s="14"/>
      <c r="D836" s="15"/>
      <c r="E836" s="16"/>
    </row>
    <row r="837">
      <c r="A837" s="11"/>
      <c r="B837" s="20"/>
      <c r="C837" s="14"/>
      <c r="D837" s="15"/>
      <c r="E837" s="16"/>
    </row>
    <row r="838">
      <c r="A838" s="11"/>
      <c r="B838" s="20"/>
      <c r="C838" s="14"/>
      <c r="D838" s="15"/>
      <c r="E838" s="16"/>
    </row>
    <row r="839">
      <c r="A839" s="11"/>
      <c r="B839" s="20"/>
      <c r="C839" s="14"/>
      <c r="D839" s="15"/>
      <c r="E839" s="16"/>
    </row>
    <row r="840">
      <c r="A840" s="11"/>
      <c r="B840" s="20"/>
      <c r="C840" s="14"/>
      <c r="D840" s="15"/>
      <c r="E840" s="16"/>
    </row>
    <row r="841">
      <c r="A841" s="11"/>
      <c r="B841" s="20"/>
      <c r="C841" s="14"/>
      <c r="D841" s="15"/>
      <c r="E841" s="16"/>
    </row>
    <row r="842">
      <c r="A842" s="11"/>
      <c r="B842" s="20"/>
      <c r="C842" s="14"/>
      <c r="D842" s="15"/>
      <c r="E842" s="16"/>
    </row>
    <row r="843">
      <c r="A843" s="11"/>
      <c r="B843" s="20"/>
      <c r="C843" s="14"/>
      <c r="D843" s="15"/>
      <c r="E843" s="16"/>
    </row>
    <row r="844">
      <c r="A844" s="11"/>
      <c r="B844" s="20"/>
      <c r="C844" s="14"/>
      <c r="D844" s="15"/>
      <c r="E844" s="16"/>
    </row>
    <row r="845">
      <c r="A845" s="11"/>
      <c r="B845" s="20"/>
      <c r="C845" s="14"/>
      <c r="D845" s="15"/>
      <c r="E845" s="16"/>
    </row>
    <row r="846">
      <c r="A846" s="11"/>
      <c r="B846" s="20"/>
      <c r="C846" s="14"/>
      <c r="D846" s="15"/>
      <c r="E846" s="16"/>
    </row>
    <row r="847">
      <c r="A847" s="11"/>
      <c r="B847" s="20"/>
      <c r="C847" s="14"/>
      <c r="D847" s="15"/>
      <c r="E847" s="16"/>
    </row>
    <row r="848">
      <c r="A848" s="11"/>
      <c r="B848" s="20"/>
      <c r="C848" s="14"/>
      <c r="D848" s="15"/>
      <c r="E848" s="16"/>
    </row>
    <row r="849">
      <c r="A849" s="11"/>
      <c r="B849" s="20"/>
      <c r="C849" s="14"/>
      <c r="D849" s="15"/>
      <c r="E849" s="16"/>
    </row>
    <row r="850">
      <c r="A850" s="11"/>
      <c r="B850" s="20"/>
      <c r="C850" s="14"/>
      <c r="D850" s="15"/>
      <c r="E850" s="16"/>
    </row>
    <row r="851">
      <c r="A851" s="11"/>
      <c r="B851" s="20"/>
      <c r="C851" s="14"/>
      <c r="D851" s="15"/>
      <c r="E851" s="16"/>
    </row>
    <row r="852">
      <c r="A852" s="11"/>
      <c r="B852" s="20"/>
      <c r="C852" s="14"/>
      <c r="D852" s="15"/>
      <c r="E852" s="16"/>
    </row>
    <row r="853">
      <c r="A853" s="11"/>
      <c r="B853" s="20"/>
      <c r="C853" s="14"/>
      <c r="D853" s="15"/>
      <c r="E853" s="16"/>
    </row>
    <row r="854">
      <c r="A854" s="11"/>
      <c r="B854" s="20"/>
      <c r="C854" s="14"/>
      <c r="D854" s="15"/>
      <c r="E854" s="16"/>
    </row>
    <row r="855">
      <c r="A855" s="11"/>
      <c r="B855" s="20"/>
      <c r="C855" s="14"/>
      <c r="D855" s="15"/>
      <c r="E855" s="16"/>
    </row>
    <row r="856">
      <c r="A856" s="11"/>
      <c r="B856" s="20"/>
      <c r="C856" s="14"/>
      <c r="D856" s="15"/>
      <c r="E856" s="16"/>
    </row>
    <row r="857">
      <c r="A857" s="11"/>
      <c r="B857" s="20"/>
      <c r="C857" s="14"/>
      <c r="D857" s="15"/>
      <c r="E857" s="16"/>
    </row>
    <row r="858">
      <c r="A858" s="11"/>
      <c r="B858" s="20"/>
      <c r="C858" s="14"/>
      <c r="D858" s="15"/>
      <c r="E858" s="16"/>
    </row>
    <row r="859">
      <c r="A859" s="11"/>
      <c r="B859" s="20"/>
      <c r="C859" s="14"/>
      <c r="D859" s="15"/>
      <c r="E859" s="16"/>
    </row>
    <row r="860">
      <c r="A860" s="11"/>
      <c r="B860" s="20"/>
      <c r="C860" s="14"/>
      <c r="D860" s="15"/>
      <c r="E860" s="16"/>
    </row>
    <row r="861">
      <c r="A861" s="11"/>
      <c r="B861" s="20"/>
      <c r="C861" s="14"/>
      <c r="D861" s="15"/>
      <c r="E861" s="16"/>
    </row>
    <row r="862">
      <c r="A862" s="11"/>
      <c r="B862" s="20"/>
      <c r="C862" s="14"/>
      <c r="D862" s="15"/>
      <c r="E862" s="16"/>
    </row>
    <row r="863">
      <c r="A863" s="11"/>
      <c r="B863" s="20"/>
      <c r="C863" s="14"/>
      <c r="D863" s="15"/>
      <c r="E863" s="16"/>
    </row>
    <row r="864">
      <c r="A864" s="11"/>
      <c r="B864" s="20"/>
      <c r="C864" s="14"/>
      <c r="D864" s="15"/>
      <c r="E864" s="16"/>
    </row>
    <row r="865">
      <c r="A865" s="11"/>
      <c r="B865" s="20"/>
      <c r="C865" s="14"/>
      <c r="D865" s="15"/>
      <c r="E865" s="16"/>
    </row>
    <row r="866">
      <c r="A866" s="11"/>
      <c r="B866" s="20"/>
      <c r="C866" s="14"/>
      <c r="D866" s="15"/>
      <c r="E866" s="16"/>
    </row>
    <row r="867">
      <c r="A867" s="11"/>
      <c r="B867" s="20"/>
      <c r="C867" s="14"/>
      <c r="D867" s="15"/>
      <c r="E867" s="16"/>
    </row>
    <row r="868">
      <c r="A868" s="11"/>
      <c r="B868" s="20"/>
      <c r="C868" s="14"/>
      <c r="D868" s="15"/>
      <c r="E868" s="16"/>
    </row>
    <row r="869">
      <c r="A869" s="11"/>
      <c r="B869" s="20"/>
      <c r="C869" s="14"/>
      <c r="D869" s="15"/>
      <c r="E869" s="16"/>
    </row>
    <row r="870">
      <c r="A870" s="11"/>
      <c r="B870" s="20"/>
      <c r="C870" s="14"/>
      <c r="D870" s="15"/>
      <c r="E870" s="16"/>
    </row>
    <row r="871">
      <c r="A871" s="11"/>
      <c r="B871" s="20"/>
      <c r="C871" s="14"/>
      <c r="D871" s="15"/>
      <c r="E871" s="16"/>
    </row>
    <row r="872">
      <c r="A872" s="11"/>
      <c r="B872" s="20"/>
      <c r="C872" s="14"/>
      <c r="D872" s="15"/>
      <c r="E872" s="16"/>
    </row>
    <row r="873">
      <c r="A873" s="11"/>
      <c r="B873" s="20"/>
      <c r="C873" s="14"/>
      <c r="D873" s="15"/>
      <c r="E873" s="16"/>
    </row>
    <row r="874">
      <c r="A874" s="11"/>
      <c r="B874" s="20"/>
      <c r="C874" s="14"/>
      <c r="D874" s="15"/>
      <c r="E874" s="16"/>
    </row>
    <row r="875">
      <c r="A875" s="11"/>
      <c r="B875" s="20"/>
      <c r="C875" s="14"/>
      <c r="D875" s="15"/>
      <c r="E875" s="16"/>
    </row>
    <row r="876">
      <c r="A876" s="11"/>
      <c r="B876" s="20"/>
      <c r="C876" s="14"/>
      <c r="D876" s="15"/>
      <c r="E876" s="16"/>
    </row>
    <row r="877">
      <c r="A877" s="11"/>
      <c r="B877" s="20"/>
      <c r="C877" s="14"/>
      <c r="D877" s="15"/>
      <c r="E877" s="16"/>
    </row>
    <row r="878">
      <c r="A878" s="11"/>
      <c r="B878" s="20"/>
      <c r="C878" s="14"/>
      <c r="D878" s="15"/>
      <c r="E878" s="16"/>
    </row>
    <row r="879">
      <c r="A879" s="11"/>
      <c r="B879" s="20"/>
      <c r="C879" s="14"/>
      <c r="D879" s="15"/>
      <c r="E879" s="16"/>
    </row>
    <row r="880">
      <c r="A880" s="11"/>
      <c r="B880" s="20"/>
      <c r="C880" s="14"/>
      <c r="D880" s="15"/>
      <c r="E880" s="16"/>
    </row>
    <row r="881">
      <c r="A881" s="11"/>
      <c r="B881" s="20"/>
      <c r="C881" s="14"/>
      <c r="D881" s="15"/>
      <c r="E881" s="16"/>
    </row>
    <row r="882">
      <c r="A882" s="11"/>
      <c r="B882" s="20"/>
      <c r="C882" s="14"/>
      <c r="D882" s="15"/>
      <c r="E882" s="16"/>
    </row>
    <row r="883">
      <c r="A883" s="11"/>
      <c r="B883" s="20"/>
      <c r="C883" s="14"/>
      <c r="D883" s="15"/>
      <c r="E883" s="16"/>
    </row>
    <row r="884">
      <c r="A884" s="11"/>
      <c r="B884" s="20"/>
      <c r="C884" s="14"/>
      <c r="D884" s="15"/>
      <c r="E884" s="16"/>
    </row>
    <row r="885">
      <c r="A885" s="11"/>
      <c r="B885" s="20"/>
      <c r="C885" s="14"/>
      <c r="D885" s="15"/>
      <c r="E885" s="16"/>
    </row>
    <row r="886">
      <c r="A886" s="11"/>
      <c r="B886" s="20"/>
      <c r="C886" s="14"/>
      <c r="D886" s="15"/>
      <c r="E886" s="16"/>
    </row>
    <row r="887">
      <c r="A887" s="11"/>
      <c r="B887" s="20"/>
      <c r="C887" s="14"/>
      <c r="D887" s="15"/>
      <c r="E887" s="16"/>
    </row>
    <row r="888">
      <c r="A888" s="11"/>
      <c r="B888" s="20"/>
      <c r="C888" s="14"/>
      <c r="D888" s="15"/>
      <c r="E888" s="16"/>
    </row>
    <row r="889">
      <c r="A889" s="11"/>
      <c r="B889" s="20"/>
      <c r="C889" s="14"/>
      <c r="D889" s="15"/>
      <c r="E889" s="16"/>
    </row>
    <row r="890">
      <c r="A890" s="11"/>
      <c r="B890" s="20"/>
      <c r="C890" s="14"/>
      <c r="D890" s="15"/>
      <c r="E890" s="16"/>
    </row>
    <row r="891">
      <c r="A891" s="11"/>
      <c r="B891" s="20"/>
      <c r="C891" s="14"/>
      <c r="D891" s="15"/>
      <c r="E891" s="16"/>
    </row>
    <row r="892">
      <c r="A892" s="11"/>
      <c r="B892" s="20"/>
      <c r="C892" s="14"/>
      <c r="D892" s="15"/>
      <c r="E892" s="16"/>
    </row>
    <row r="893">
      <c r="A893" s="11"/>
      <c r="B893" s="20"/>
      <c r="C893" s="14"/>
      <c r="D893" s="15"/>
      <c r="E893" s="16"/>
    </row>
    <row r="894">
      <c r="A894" s="11"/>
      <c r="B894" s="20"/>
      <c r="C894" s="14"/>
      <c r="D894" s="15"/>
      <c r="E894" s="16"/>
    </row>
    <row r="895">
      <c r="A895" s="11"/>
      <c r="B895" s="20"/>
      <c r="C895" s="14"/>
      <c r="D895" s="15"/>
      <c r="E895" s="16"/>
    </row>
    <row r="896">
      <c r="A896" s="11"/>
      <c r="B896" s="20"/>
      <c r="C896" s="14"/>
      <c r="D896" s="15"/>
      <c r="E896" s="16"/>
    </row>
    <row r="897">
      <c r="A897" s="11"/>
      <c r="B897" s="20"/>
      <c r="C897" s="14"/>
      <c r="D897" s="15"/>
      <c r="E897" s="16"/>
    </row>
    <row r="898">
      <c r="A898" s="11"/>
      <c r="B898" s="20"/>
      <c r="C898" s="14"/>
      <c r="D898" s="15"/>
      <c r="E898" s="16"/>
    </row>
    <row r="899">
      <c r="A899" s="11"/>
      <c r="B899" s="20"/>
      <c r="C899" s="14"/>
      <c r="D899" s="15"/>
      <c r="E899" s="16"/>
    </row>
    <row r="900">
      <c r="A900" s="11"/>
      <c r="B900" s="20"/>
      <c r="C900" s="14"/>
      <c r="D900" s="15"/>
      <c r="E900" s="16"/>
    </row>
    <row r="901">
      <c r="A901" s="11"/>
      <c r="B901" s="20"/>
      <c r="C901" s="14"/>
      <c r="D901" s="15"/>
      <c r="E901" s="16"/>
    </row>
    <row r="902">
      <c r="A902" s="11"/>
      <c r="B902" s="20"/>
      <c r="C902" s="14"/>
      <c r="D902" s="15"/>
      <c r="E902" s="16"/>
    </row>
    <row r="903">
      <c r="A903" s="11"/>
      <c r="B903" s="20"/>
      <c r="C903" s="14"/>
      <c r="D903" s="15"/>
      <c r="E903" s="16"/>
    </row>
    <row r="904">
      <c r="A904" s="11"/>
      <c r="B904" s="20"/>
      <c r="C904" s="14"/>
      <c r="D904" s="15"/>
      <c r="E904" s="16"/>
    </row>
    <row r="905">
      <c r="A905" s="11"/>
      <c r="B905" s="20"/>
      <c r="C905" s="14"/>
      <c r="D905" s="15"/>
      <c r="E905" s="16"/>
    </row>
    <row r="906">
      <c r="A906" s="11"/>
      <c r="B906" s="20"/>
      <c r="C906" s="14"/>
      <c r="D906" s="15"/>
      <c r="E906" s="16"/>
    </row>
    <row r="907">
      <c r="A907" s="11"/>
      <c r="B907" s="20"/>
      <c r="C907" s="14"/>
      <c r="D907" s="15"/>
      <c r="E907" s="16"/>
    </row>
    <row r="908">
      <c r="A908" s="11"/>
      <c r="B908" s="20"/>
      <c r="C908" s="14"/>
      <c r="D908" s="15"/>
      <c r="E908" s="16"/>
    </row>
    <row r="909">
      <c r="A909" s="11"/>
      <c r="B909" s="20"/>
      <c r="C909" s="14"/>
      <c r="D909" s="15"/>
      <c r="E909" s="16"/>
    </row>
    <row r="910">
      <c r="A910" s="11"/>
      <c r="B910" s="20"/>
      <c r="C910" s="14"/>
      <c r="D910" s="15"/>
      <c r="E910" s="16"/>
    </row>
    <row r="911">
      <c r="A911" s="11"/>
      <c r="B911" s="20"/>
      <c r="C911" s="14"/>
      <c r="D911" s="15"/>
      <c r="E911" s="16"/>
    </row>
    <row r="912">
      <c r="A912" s="11"/>
      <c r="B912" s="20"/>
      <c r="C912" s="14"/>
      <c r="D912" s="15"/>
      <c r="E912" s="16"/>
    </row>
    <row r="913">
      <c r="A913" s="11"/>
      <c r="B913" s="20"/>
      <c r="C913" s="14"/>
      <c r="D913" s="15"/>
      <c r="E913" s="16"/>
    </row>
    <row r="914">
      <c r="A914" s="11"/>
      <c r="B914" s="20"/>
      <c r="C914" s="14"/>
      <c r="D914" s="15"/>
      <c r="E914" s="16"/>
    </row>
    <row r="915">
      <c r="A915" s="11"/>
      <c r="B915" s="20"/>
      <c r="C915" s="14"/>
      <c r="D915" s="15"/>
      <c r="E915" s="16"/>
    </row>
    <row r="916">
      <c r="A916" s="11"/>
      <c r="B916" s="20"/>
      <c r="C916" s="14"/>
      <c r="D916" s="15"/>
      <c r="E916" s="16"/>
    </row>
    <row r="917">
      <c r="A917" s="11"/>
      <c r="B917" s="20"/>
      <c r="C917" s="14"/>
      <c r="D917" s="15"/>
      <c r="E917" s="16"/>
    </row>
    <row r="918">
      <c r="A918" s="11"/>
      <c r="B918" s="20"/>
      <c r="C918" s="14"/>
      <c r="D918" s="15"/>
      <c r="E918" s="16"/>
    </row>
    <row r="919">
      <c r="A919" s="11"/>
      <c r="B919" s="20"/>
      <c r="C919" s="14"/>
      <c r="D919" s="15"/>
      <c r="E919" s="16"/>
    </row>
    <row r="920">
      <c r="A920" s="11"/>
      <c r="B920" s="20"/>
      <c r="C920" s="14"/>
      <c r="D920" s="15"/>
      <c r="E920" s="16"/>
    </row>
    <row r="921">
      <c r="A921" s="11"/>
      <c r="B921" s="20"/>
      <c r="C921" s="14"/>
      <c r="D921" s="15"/>
      <c r="E921" s="16"/>
    </row>
    <row r="922">
      <c r="A922" s="11"/>
      <c r="B922" s="20"/>
      <c r="C922" s="14"/>
      <c r="D922" s="15"/>
      <c r="E922" s="16"/>
    </row>
    <row r="923">
      <c r="A923" s="11"/>
      <c r="B923" s="20"/>
      <c r="C923" s="14"/>
      <c r="D923" s="15"/>
      <c r="E923" s="16"/>
    </row>
    <row r="924">
      <c r="A924" s="11"/>
      <c r="B924" s="20"/>
      <c r="C924" s="14"/>
      <c r="D924" s="15"/>
      <c r="E924" s="16"/>
    </row>
    <row r="925">
      <c r="A925" s="11"/>
      <c r="B925" s="20"/>
      <c r="C925" s="14"/>
      <c r="D925" s="15"/>
      <c r="E925" s="16"/>
    </row>
    <row r="926">
      <c r="A926" s="11"/>
      <c r="B926" s="20"/>
      <c r="C926" s="14"/>
      <c r="D926" s="15"/>
      <c r="E926" s="16"/>
    </row>
    <row r="927">
      <c r="A927" s="11"/>
      <c r="B927" s="20"/>
      <c r="C927" s="14"/>
      <c r="D927" s="15"/>
      <c r="E927" s="16"/>
    </row>
    <row r="928">
      <c r="A928" s="11"/>
      <c r="B928" s="20"/>
      <c r="C928" s="14"/>
      <c r="D928" s="15"/>
      <c r="E928" s="16"/>
    </row>
    <row r="929">
      <c r="A929" s="11"/>
      <c r="B929" s="20"/>
      <c r="C929" s="14"/>
      <c r="D929" s="15"/>
      <c r="E929" s="16"/>
    </row>
    <row r="930">
      <c r="A930" s="11"/>
      <c r="B930" s="20"/>
      <c r="C930" s="14"/>
      <c r="D930" s="15"/>
      <c r="E930" s="16"/>
    </row>
    <row r="931">
      <c r="A931" s="11"/>
      <c r="B931" s="20"/>
      <c r="C931" s="14"/>
      <c r="D931" s="15"/>
      <c r="E931" s="16"/>
    </row>
    <row r="932">
      <c r="A932" s="11"/>
      <c r="B932" s="20"/>
      <c r="C932" s="14"/>
      <c r="D932" s="15"/>
      <c r="E932" s="16"/>
    </row>
    <row r="933">
      <c r="A933" s="11"/>
      <c r="B933" s="20"/>
      <c r="C933" s="14"/>
      <c r="D933" s="15"/>
      <c r="E933" s="16"/>
    </row>
    <row r="934">
      <c r="A934" s="11"/>
      <c r="B934" s="20"/>
      <c r="C934" s="14"/>
      <c r="D934" s="15"/>
      <c r="E934" s="16"/>
    </row>
    <row r="935">
      <c r="A935" s="11"/>
      <c r="B935" s="20"/>
      <c r="C935" s="14"/>
      <c r="D935" s="15"/>
      <c r="E935" s="16"/>
    </row>
    <row r="936">
      <c r="A936" s="11"/>
      <c r="B936" s="20"/>
      <c r="C936" s="14"/>
      <c r="D936" s="15"/>
      <c r="E936" s="16"/>
    </row>
    <row r="937">
      <c r="A937" s="11"/>
      <c r="B937" s="20"/>
      <c r="C937" s="14"/>
      <c r="D937" s="15"/>
      <c r="E937" s="16"/>
    </row>
    <row r="938">
      <c r="A938" s="11"/>
      <c r="B938" s="20"/>
      <c r="C938" s="14"/>
      <c r="D938" s="15"/>
      <c r="E938" s="16"/>
    </row>
    <row r="939">
      <c r="A939" s="11"/>
      <c r="B939" s="20"/>
      <c r="C939" s="14"/>
      <c r="D939" s="15"/>
      <c r="E939" s="16"/>
    </row>
    <row r="940">
      <c r="A940" s="11"/>
      <c r="B940" s="20"/>
      <c r="C940" s="14"/>
      <c r="D940" s="15"/>
      <c r="E940" s="16"/>
    </row>
    <row r="941">
      <c r="A941" s="11"/>
      <c r="B941" s="20"/>
      <c r="C941" s="14"/>
      <c r="D941" s="15"/>
      <c r="E941" s="16"/>
    </row>
    <row r="942">
      <c r="A942" s="11"/>
      <c r="B942" s="20"/>
      <c r="C942" s="14"/>
      <c r="D942" s="15"/>
      <c r="E942" s="16"/>
    </row>
    <row r="943">
      <c r="A943" s="11"/>
      <c r="B943" s="20"/>
      <c r="C943" s="14"/>
      <c r="D943" s="15"/>
      <c r="E943" s="16"/>
    </row>
    <row r="944">
      <c r="A944" s="11"/>
      <c r="B944" s="20"/>
      <c r="C944" s="14"/>
      <c r="D944" s="15"/>
      <c r="E944" s="16"/>
    </row>
    <row r="945">
      <c r="A945" s="11"/>
      <c r="B945" s="20"/>
      <c r="C945" s="14"/>
      <c r="D945" s="15"/>
      <c r="E945" s="16"/>
    </row>
    <row r="946">
      <c r="A946" s="11"/>
      <c r="B946" s="20"/>
      <c r="C946" s="14"/>
      <c r="D946" s="15"/>
      <c r="E946" s="16"/>
    </row>
    <row r="947">
      <c r="A947" s="11"/>
      <c r="B947" s="20"/>
      <c r="C947" s="14"/>
      <c r="D947" s="15"/>
      <c r="E947" s="16"/>
    </row>
    <row r="948">
      <c r="A948" s="11"/>
      <c r="B948" s="20"/>
      <c r="C948" s="14"/>
      <c r="D948" s="15"/>
      <c r="E948" s="16"/>
    </row>
    <row r="949">
      <c r="A949" s="11"/>
      <c r="B949" s="20"/>
      <c r="C949" s="14"/>
      <c r="D949" s="15"/>
      <c r="E949" s="16"/>
    </row>
    <row r="950">
      <c r="A950" s="11"/>
      <c r="B950" s="20"/>
      <c r="C950" s="14"/>
      <c r="D950" s="15"/>
      <c r="E950" s="16"/>
    </row>
    <row r="951">
      <c r="A951" s="11"/>
      <c r="B951" s="20"/>
      <c r="C951" s="14"/>
      <c r="D951" s="15"/>
      <c r="E951" s="16"/>
    </row>
    <row r="952">
      <c r="A952" s="11"/>
      <c r="B952" s="20"/>
      <c r="C952" s="14"/>
      <c r="D952" s="15"/>
      <c r="E952" s="16"/>
    </row>
    <row r="953">
      <c r="A953" s="11"/>
      <c r="B953" s="20"/>
      <c r="C953" s="14"/>
      <c r="D953" s="15"/>
      <c r="E953" s="16"/>
    </row>
    <row r="954">
      <c r="A954" s="11"/>
      <c r="B954" s="20"/>
      <c r="C954" s="14"/>
      <c r="D954" s="15"/>
      <c r="E954" s="16"/>
    </row>
    <row r="955">
      <c r="A955" s="11"/>
      <c r="B955" s="20"/>
      <c r="C955" s="14"/>
      <c r="D955" s="15"/>
      <c r="E955" s="16"/>
    </row>
    <row r="956">
      <c r="A956" s="11"/>
      <c r="B956" s="20"/>
      <c r="C956" s="14"/>
      <c r="D956" s="15"/>
      <c r="E956" s="16"/>
    </row>
    <row r="957">
      <c r="A957" s="11"/>
      <c r="B957" s="20"/>
      <c r="C957" s="14"/>
      <c r="D957" s="15"/>
      <c r="E957" s="16"/>
    </row>
    <row r="958">
      <c r="A958" s="11"/>
      <c r="B958" s="20"/>
      <c r="C958" s="14"/>
      <c r="D958" s="15"/>
      <c r="E958" s="16"/>
    </row>
    <row r="959">
      <c r="A959" s="11"/>
      <c r="B959" s="20"/>
      <c r="C959" s="14"/>
      <c r="D959" s="15"/>
      <c r="E959" s="16"/>
    </row>
    <row r="960">
      <c r="A960" s="11"/>
      <c r="B960" s="20"/>
      <c r="C960" s="14"/>
      <c r="D960" s="15"/>
      <c r="E960" s="16"/>
    </row>
    <row r="961">
      <c r="A961" s="11"/>
      <c r="B961" s="20"/>
      <c r="C961" s="14"/>
      <c r="D961" s="15"/>
      <c r="E961" s="16"/>
    </row>
    <row r="962">
      <c r="A962" s="11"/>
      <c r="B962" s="20"/>
      <c r="C962" s="14"/>
      <c r="D962" s="15"/>
      <c r="E962" s="16"/>
    </row>
    <row r="963">
      <c r="A963" s="11"/>
      <c r="B963" s="20"/>
      <c r="C963" s="14"/>
      <c r="D963" s="15"/>
      <c r="E963" s="16"/>
    </row>
    <row r="964">
      <c r="A964" s="11"/>
      <c r="B964" s="20"/>
      <c r="C964" s="14"/>
      <c r="D964" s="15"/>
      <c r="E964" s="16"/>
    </row>
    <row r="965">
      <c r="A965" s="11"/>
      <c r="B965" s="20"/>
      <c r="C965" s="14"/>
      <c r="D965" s="15"/>
      <c r="E965" s="16"/>
    </row>
    <row r="966">
      <c r="A966" s="11"/>
      <c r="B966" s="20"/>
      <c r="C966" s="14"/>
      <c r="D966" s="15"/>
      <c r="E966" s="16"/>
    </row>
    <row r="967">
      <c r="A967" s="11"/>
      <c r="B967" s="20"/>
      <c r="C967" s="14"/>
      <c r="D967" s="15"/>
      <c r="E967" s="16"/>
    </row>
    <row r="968">
      <c r="A968" s="11"/>
      <c r="B968" s="20"/>
      <c r="C968" s="14"/>
      <c r="D968" s="15"/>
      <c r="E968" s="16"/>
    </row>
    <row r="969">
      <c r="A969" s="11"/>
      <c r="B969" s="20"/>
      <c r="C969" s="14"/>
      <c r="D969" s="15"/>
      <c r="E969" s="16"/>
    </row>
    <row r="970">
      <c r="A970" s="11"/>
      <c r="B970" s="20"/>
      <c r="C970" s="14"/>
      <c r="D970" s="15"/>
      <c r="E970" s="16"/>
    </row>
    <row r="971">
      <c r="A971" s="11"/>
      <c r="B971" s="20"/>
      <c r="C971" s="14"/>
      <c r="D971" s="15"/>
      <c r="E971" s="16"/>
    </row>
    <row r="972">
      <c r="A972" s="11"/>
      <c r="B972" s="20"/>
      <c r="C972" s="14"/>
      <c r="D972" s="15"/>
      <c r="E972" s="16"/>
    </row>
    <row r="973">
      <c r="A973" s="11"/>
      <c r="B973" s="20"/>
      <c r="C973" s="14"/>
      <c r="D973" s="15"/>
      <c r="E973" s="16"/>
    </row>
    <row r="974">
      <c r="A974" s="11"/>
      <c r="B974" s="20"/>
      <c r="C974" s="14"/>
      <c r="D974" s="15"/>
      <c r="E974" s="16"/>
    </row>
    <row r="975">
      <c r="A975" s="11"/>
      <c r="B975" s="20"/>
      <c r="C975" s="14"/>
      <c r="D975" s="15"/>
      <c r="E975" s="16"/>
    </row>
    <row r="976">
      <c r="A976" s="11"/>
      <c r="B976" s="20"/>
      <c r="C976" s="14"/>
      <c r="D976" s="15"/>
      <c r="E976" s="16"/>
    </row>
    <row r="977">
      <c r="A977" s="11"/>
      <c r="B977" s="20"/>
      <c r="C977" s="14"/>
      <c r="D977" s="15"/>
      <c r="E977" s="16"/>
    </row>
    <row r="978">
      <c r="A978" s="11"/>
      <c r="B978" s="20"/>
      <c r="C978" s="14"/>
      <c r="D978" s="15"/>
      <c r="E978" s="16"/>
    </row>
    <row r="979">
      <c r="A979" s="11"/>
      <c r="B979" s="20"/>
      <c r="C979" s="14"/>
      <c r="D979" s="15"/>
      <c r="E979" s="16"/>
    </row>
    <row r="980">
      <c r="A980" s="11"/>
      <c r="B980" s="20"/>
      <c r="C980" s="14"/>
      <c r="D980" s="15"/>
      <c r="E980" s="16"/>
    </row>
    <row r="981">
      <c r="A981" s="11"/>
      <c r="B981" s="20"/>
      <c r="C981" s="14"/>
      <c r="D981" s="15"/>
      <c r="E981" s="16"/>
    </row>
    <row r="982">
      <c r="A982" s="11"/>
      <c r="B982" s="20"/>
      <c r="C982" s="14"/>
      <c r="D982" s="15"/>
      <c r="E982" s="16"/>
    </row>
    <row r="983">
      <c r="A983" s="11"/>
      <c r="B983" s="20"/>
      <c r="C983" s="14"/>
      <c r="D983" s="15"/>
      <c r="E983" s="16"/>
    </row>
    <row r="984">
      <c r="A984" s="11"/>
      <c r="B984" s="20"/>
      <c r="C984" s="14"/>
      <c r="D984" s="15"/>
      <c r="E984" s="16"/>
    </row>
    <row r="985">
      <c r="A985" s="11"/>
      <c r="B985" s="20"/>
      <c r="C985" s="14"/>
      <c r="D985" s="15"/>
      <c r="E985" s="16"/>
    </row>
    <row r="986">
      <c r="A986" s="11"/>
      <c r="B986" s="20"/>
      <c r="C986" s="14"/>
      <c r="D986" s="15"/>
      <c r="E986" s="16"/>
    </row>
    <row r="987">
      <c r="A987" s="11"/>
      <c r="B987" s="20"/>
      <c r="C987" s="14"/>
      <c r="D987" s="15"/>
      <c r="E987" s="16"/>
    </row>
    <row r="988">
      <c r="A988" s="11"/>
      <c r="B988" s="20"/>
      <c r="C988" s="14"/>
      <c r="D988" s="15"/>
      <c r="E988" s="16"/>
    </row>
    <row r="989">
      <c r="A989" s="11"/>
      <c r="B989" s="20"/>
      <c r="C989" s="14"/>
      <c r="D989" s="15"/>
      <c r="E989" s="16"/>
    </row>
    <row r="990">
      <c r="A990" s="11"/>
      <c r="B990" s="20"/>
      <c r="C990" s="14"/>
      <c r="D990" s="15"/>
      <c r="E990" s="16"/>
    </row>
    <row r="991">
      <c r="A991" s="11"/>
      <c r="B991" s="20"/>
      <c r="C991" s="14"/>
      <c r="D991" s="15"/>
      <c r="E991" s="16"/>
    </row>
    <row r="992">
      <c r="A992" s="11"/>
      <c r="B992" s="20"/>
      <c r="C992" s="14"/>
      <c r="D992" s="15"/>
      <c r="E992" s="16"/>
    </row>
    <row r="993">
      <c r="A993" s="11"/>
      <c r="B993" s="20"/>
      <c r="C993" s="14"/>
      <c r="D993" s="15"/>
      <c r="E993" s="16"/>
    </row>
    <row r="994">
      <c r="A994" s="11"/>
      <c r="B994" s="20"/>
      <c r="C994" s="14"/>
      <c r="D994" s="15"/>
      <c r="E994" s="16"/>
    </row>
    <row r="995">
      <c r="A995" s="11"/>
      <c r="B995" s="20"/>
      <c r="C995" s="14"/>
      <c r="D995" s="15"/>
      <c r="E995" s="16"/>
    </row>
    <row r="996">
      <c r="A996" s="11"/>
      <c r="B996" s="20"/>
      <c r="C996" s="14"/>
      <c r="D996" s="15"/>
      <c r="E996" s="16"/>
    </row>
    <row r="997">
      <c r="A997" s="11"/>
      <c r="B997" s="20"/>
      <c r="C997" s="14"/>
      <c r="D997" s="15"/>
      <c r="E997" s="16"/>
    </row>
    <row r="998">
      <c r="A998" s="11"/>
      <c r="B998" s="20"/>
      <c r="C998" s="14"/>
      <c r="D998" s="15"/>
      <c r="E998" s="16"/>
    </row>
    <row r="999">
      <c r="A999" s="11"/>
      <c r="B999" s="20"/>
      <c r="C999" s="14"/>
      <c r="D999" s="15"/>
      <c r="E999" s="16"/>
    </row>
    <row r="1000">
      <c r="A1000" s="11"/>
      <c r="B1000" s="20"/>
      <c r="C1000" s="14"/>
      <c r="D1000" s="15"/>
      <c r="E1000" s="16"/>
    </row>
  </sheetData>
  <autoFilter ref="$A$1:$C$94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25"/>
    <col customWidth="1" min="4" max="4" width="15.25"/>
  </cols>
  <sheetData>
    <row r="1">
      <c r="B1" s="2" t="s">
        <v>61</v>
      </c>
      <c r="C1" s="18"/>
      <c r="D1" s="19"/>
    </row>
    <row r="2">
      <c r="B2" s="2">
        <v>9756324.0</v>
      </c>
      <c r="C2" s="18" t="str">
        <f t="shared" ref="C2:C104" si="1">IFS(LEN(B2)=6,CONCAT("0482",B2),LEN(B2)=7,CONCAT("048",B2))</f>
        <v>0489756324</v>
      </c>
      <c r="D2" s="19">
        <v>4.89756324E8</v>
      </c>
    </row>
    <row r="3">
      <c r="B3" s="2">
        <v>2175876.0</v>
      </c>
      <c r="C3" s="18" t="str">
        <f t="shared" si="1"/>
        <v>0482175876</v>
      </c>
      <c r="D3" s="19">
        <v>4.82175876E8</v>
      </c>
      <c r="I3" s="4">
        <f>LEN(B2)</f>
        <v>7</v>
      </c>
    </row>
    <row r="4">
      <c r="B4" s="2">
        <v>4847540.0</v>
      </c>
      <c r="C4" s="18" t="str">
        <f t="shared" si="1"/>
        <v>0484847540</v>
      </c>
      <c r="D4" s="19">
        <v>4.8484754E8</v>
      </c>
    </row>
    <row r="5">
      <c r="B5" s="2">
        <v>7235957.0</v>
      </c>
      <c r="C5" s="18" t="str">
        <f t="shared" si="1"/>
        <v>0487235957</v>
      </c>
      <c r="D5" s="19">
        <v>4.87235957E8</v>
      </c>
    </row>
    <row r="6">
      <c r="B6" s="2">
        <v>9221389.0</v>
      </c>
      <c r="C6" s="18" t="str">
        <f t="shared" si="1"/>
        <v>0489221389</v>
      </c>
      <c r="D6" s="19">
        <v>4.89221389E8</v>
      </c>
    </row>
    <row r="7">
      <c r="B7" s="2">
        <v>5008696.0</v>
      </c>
      <c r="C7" s="18" t="str">
        <f t="shared" si="1"/>
        <v>0485008696</v>
      </c>
      <c r="D7" s="19">
        <v>4.85008696E8</v>
      </c>
    </row>
    <row r="8">
      <c r="B8" s="2">
        <v>8805222.0</v>
      </c>
      <c r="C8" s="18" t="str">
        <f t="shared" si="1"/>
        <v>0488805222</v>
      </c>
      <c r="D8" s="19">
        <v>4.88805222E8</v>
      </c>
    </row>
    <row r="9">
      <c r="B9" s="2">
        <v>7352238.0</v>
      </c>
      <c r="C9" s="18" t="str">
        <f t="shared" si="1"/>
        <v>0487352238</v>
      </c>
      <c r="D9" s="19">
        <v>4.87352238E8</v>
      </c>
    </row>
    <row r="10">
      <c r="B10" s="2">
        <v>3961683.0</v>
      </c>
      <c r="C10" s="18" t="str">
        <f t="shared" si="1"/>
        <v>0483961683</v>
      </c>
      <c r="D10" s="19">
        <v>4.83961683E8</v>
      </c>
    </row>
    <row r="11">
      <c r="B11" s="2">
        <v>3961683.0</v>
      </c>
      <c r="C11" s="18" t="str">
        <f t="shared" si="1"/>
        <v>0483961683</v>
      </c>
      <c r="D11" s="19">
        <v>4.83961683E8</v>
      </c>
    </row>
    <row r="12">
      <c r="B12" s="2">
        <v>9756324.0</v>
      </c>
      <c r="C12" s="18" t="str">
        <f t="shared" si="1"/>
        <v>0489756324</v>
      </c>
      <c r="D12" s="19">
        <v>4.89756324E8</v>
      </c>
    </row>
    <row r="13">
      <c r="A13" s="21"/>
      <c r="B13" s="23">
        <v>4177621.0</v>
      </c>
      <c r="C13" s="25" t="str">
        <f t="shared" si="1"/>
        <v>0484177621</v>
      </c>
      <c r="D13" s="26">
        <v>4.84177621E8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8"/>
      <c r="B14" s="29">
        <v>181270.0</v>
      </c>
      <c r="C14" s="30" t="str">
        <f t="shared" si="1"/>
        <v>0482181270</v>
      </c>
      <c r="D14" s="31">
        <v>4.8218127E8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B15" s="2">
        <v>424742.0</v>
      </c>
      <c r="C15" s="18" t="str">
        <f t="shared" si="1"/>
        <v>0482424742</v>
      </c>
      <c r="D15" s="19">
        <v>4.82424742E8</v>
      </c>
    </row>
    <row r="16">
      <c r="B16" s="2">
        <v>3898299.0</v>
      </c>
      <c r="C16" s="18" t="str">
        <f t="shared" si="1"/>
        <v>0483898299</v>
      </c>
      <c r="D16" s="19">
        <v>4.83898299E8</v>
      </c>
    </row>
    <row r="17">
      <c r="B17" s="2">
        <v>2204010.0</v>
      </c>
      <c r="C17" s="18" t="str">
        <f t="shared" si="1"/>
        <v>0482204010</v>
      </c>
      <c r="D17" s="19">
        <v>4.8220401E8</v>
      </c>
    </row>
    <row r="18">
      <c r="B18" s="2">
        <v>9205729.0</v>
      </c>
      <c r="C18" s="18" t="str">
        <f t="shared" si="1"/>
        <v>0489205729</v>
      </c>
      <c r="D18" s="19">
        <v>4.89205729E8</v>
      </c>
    </row>
    <row r="19">
      <c r="B19" s="2">
        <v>790437.0</v>
      </c>
      <c r="C19" s="18" t="str">
        <f t="shared" si="1"/>
        <v>0482790437</v>
      </c>
      <c r="D19" s="19">
        <v>4.82790437E8</v>
      </c>
    </row>
    <row r="20">
      <c r="B20" s="2">
        <v>7437733.0</v>
      </c>
      <c r="C20" s="18" t="str">
        <f t="shared" si="1"/>
        <v>0487437733</v>
      </c>
      <c r="D20" s="19">
        <v>4.87437733E8</v>
      </c>
    </row>
    <row r="21">
      <c r="B21" s="2">
        <v>790437.0</v>
      </c>
      <c r="C21" s="18" t="str">
        <f t="shared" si="1"/>
        <v>0482790437</v>
      </c>
      <c r="D21" s="19">
        <v>4.82790437E8</v>
      </c>
    </row>
    <row r="22">
      <c r="B22" s="2">
        <v>2141839.0</v>
      </c>
      <c r="C22" s="18" t="str">
        <f t="shared" si="1"/>
        <v>0482141839</v>
      </c>
      <c r="D22" s="19">
        <v>4.82141839E8</v>
      </c>
    </row>
    <row r="23">
      <c r="B23" s="2">
        <v>2168316.0</v>
      </c>
      <c r="C23" s="18" t="str">
        <f t="shared" si="1"/>
        <v>0482168316</v>
      </c>
      <c r="D23" s="19">
        <v>4.82168316E8</v>
      </c>
    </row>
    <row r="24">
      <c r="B24" s="2">
        <v>7718190.0</v>
      </c>
      <c r="C24" s="18" t="str">
        <f t="shared" si="1"/>
        <v>0487718190</v>
      </c>
      <c r="D24" s="19">
        <v>4.8771819E8</v>
      </c>
    </row>
    <row r="25">
      <c r="B25" s="2" t="s">
        <v>120</v>
      </c>
      <c r="C25" s="18" t="str">
        <f t="shared" si="1"/>
        <v>0485-15-85</v>
      </c>
      <c r="D25" s="19" t="s">
        <v>155</v>
      </c>
    </row>
    <row r="26">
      <c r="B26" s="2">
        <v>8553582.0</v>
      </c>
      <c r="C26" s="18" t="str">
        <f t="shared" si="1"/>
        <v>0488553582</v>
      </c>
      <c r="D26" s="19">
        <v>4.88553582E8</v>
      </c>
    </row>
    <row r="27">
      <c r="B27" s="2">
        <v>3579004.0</v>
      </c>
      <c r="C27" s="18" t="str">
        <f t="shared" si="1"/>
        <v>0483579004</v>
      </c>
      <c r="D27" s="19">
        <v>4.83579004E8</v>
      </c>
    </row>
    <row r="28">
      <c r="B28" s="2">
        <v>8690452.0</v>
      </c>
      <c r="C28" s="18" t="str">
        <f t="shared" si="1"/>
        <v>0488690452</v>
      </c>
      <c r="D28" s="19">
        <v>4.88690452E8</v>
      </c>
    </row>
    <row r="29">
      <c r="B29" s="2">
        <v>6347028.0</v>
      </c>
      <c r="C29" s="18" t="str">
        <f t="shared" si="1"/>
        <v>0486347028</v>
      </c>
      <c r="D29" s="19">
        <v>4.86347028E8</v>
      </c>
    </row>
    <row r="30">
      <c r="B30" s="2">
        <v>9323072.0</v>
      </c>
      <c r="C30" s="18" t="str">
        <f t="shared" si="1"/>
        <v>0489323072</v>
      </c>
      <c r="D30" s="19">
        <v>4.89323072E8</v>
      </c>
    </row>
    <row r="31">
      <c r="B31" s="2">
        <v>2929706.0</v>
      </c>
      <c r="C31" s="18" t="str">
        <f t="shared" si="1"/>
        <v>0482929706</v>
      </c>
      <c r="D31" s="19">
        <v>4.82929706E8</v>
      </c>
    </row>
    <row r="32">
      <c r="B32" s="32">
        <v>31931.0</v>
      </c>
      <c r="C32" s="18" t="str">
        <f t="shared" si="1"/>
        <v>#N/A</v>
      </c>
      <c r="D32" s="19" t="e">
        <v>#N/A</v>
      </c>
    </row>
    <row r="33">
      <c r="B33" s="2">
        <v>4989647.0</v>
      </c>
      <c r="C33" s="18" t="str">
        <f t="shared" si="1"/>
        <v>0484989647</v>
      </c>
      <c r="D33" s="19">
        <v>4.84989647E8</v>
      </c>
    </row>
    <row r="34">
      <c r="B34" s="2">
        <v>1361567.0</v>
      </c>
      <c r="C34" s="18" t="str">
        <f t="shared" si="1"/>
        <v>0481361567</v>
      </c>
      <c r="D34" s="19">
        <v>4.81361567E8</v>
      </c>
    </row>
    <row r="35">
      <c r="B35" s="2">
        <v>9209211.0</v>
      </c>
      <c r="C35" s="18" t="str">
        <f t="shared" si="1"/>
        <v>0489209211</v>
      </c>
      <c r="D35" s="19">
        <v>4.89209211E8</v>
      </c>
    </row>
    <row r="36">
      <c r="B36" s="2">
        <v>4880197.0</v>
      </c>
      <c r="C36" s="18" t="str">
        <f t="shared" si="1"/>
        <v>0484880197</v>
      </c>
      <c r="D36" s="19">
        <v>4.84880197E8</v>
      </c>
    </row>
    <row r="37">
      <c r="B37" s="2">
        <v>5130125.0</v>
      </c>
      <c r="C37" s="18" t="str">
        <f t="shared" si="1"/>
        <v>0485130125</v>
      </c>
      <c r="D37" s="19">
        <v>4.85130125E8</v>
      </c>
    </row>
    <row r="38">
      <c r="B38" s="2">
        <v>9792811.0</v>
      </c>
      <c r="C38" s="18" t="str">
        <f t="shared" si="1"/>
        <v>0489792811</v>
      </c>
      <c r="D38" s="19">
        <v>4.89792811E8</v>
      </c>
    </row>
    <row r="39">
      <c r="B39" s="2">
        <v>4861520.0</v>
      </c>
      <c r="C39" s="18" t="str">
        <f t="shared" si="1"/>
        <v>0484861520</v>
      </c>
      <c r="D39" s="19">
        <v>4.8486152E8</v>
      </c>
    </row>
    <row r="40">
      <c r="B40" s="2">
        <v>6187270.0</v>
      </c>
      <c r="C40" s="18" t="str">
        <f t="shared" si="1"/>
        <v>0486187270</v>
      </c>
      <c r="D40" s="19">
        <v>4.8618727E8</v>
      </c>
    </row>
    <row r="41">
      <c r="B41" s="2">
        <v>1228716.0</v>
      </c>
      <c r="C41" s="18" t="str">
        <f t="shared" si="1"/>
        <v>0481228716</v>
      </c>
      <c r="D41" s="19">
        <v>4.81228716E8</v>
      </c>
    </row>
    <row r="42">
      <c r="B42" s="2">
        <v>9494201.0</v>
      </c>
      <c r="C42" s="18" t="str">
        <f t="shared" si="1"/>
        <v>0489494201</v>
      </c>
      <c r="D42" s="19">
        <v>4.89494201E8</v>
      </c>
    </row>
    <row r="43">
      <c r="B43" s="2">
        <v>1180518.0</v>
      </c>
      <c r="C43" s="18" t="str">
        <f t="shared" si="1"/>
        <v>0481180518</v>
      </c>
      <c r="D43" s="19">
        <v>4.81180518E8</v>
      </c>
    </row>
    <row r="44">
      <c r="B44" s="2">
        <v>7164943.0</v>
      </c>
      <c r="C44" s="18" t="str">
        <f t="shared" si="1"/>
        <v>0487164943</v>
      </c>
      <c r="D44" s="19">
        <v>4.87164943E8</v>
      </c>
    </row>
    <row r="45">
      <c r="B45" s="2">
        <v>4858966.0</v>
      </c>
      <c r="C45" s="18" t="str">
        <f t="shared" si="1"/>
        <v>0484858966</v>
      </c>
      <c r="D45" s="19">
        <v>4.84858966E8</v>
      </c>
    </row>
    <row r="46">
      <c r="B46" s="2">
        <v>7375097.0</v>
      </c>
      <c r="C46" s="18" t="str">
        <f t="shared" si="1"/>
        <v>0487375097</v>
      </c>
      <c r="D46" s="19">
        <v>4.87375097E8</v>
      </c>
    </row>
    <row r="47">
      <c r="B47" s="2">
        <v>9763553.0</v>
      </c>
      <c r="C47" s="18" t="str">
        <f t="shared" si="1"/>
        <v>0489763553</v>
      </c>
      <c r="D47" s="19">
        <v>4.89763553E8</v>
      </c>
    </row>
    <row r="48">
      <c r="B48" s="2" t="s">
        <v>163</v>
      </c>
      <c r="C48" s="18" t="str">
        <f t="shared" si="1"/>
        <v>048-32-702</v>
      </c>
      <c r="D48" s="19" t="s">
        <v>202</v>
      </c>
    </row>
    <row r="49">
      <c r="B49" s="2">
        <v>865611.0</v>
      </c>
      <c r="C49" s="18" t="str">
        <f t="shared" si="1"/>
        <v>0482865611</v>
      </c>
      <c r="D49" s="19">
        <v>4.82865611E8</v>
      </c>
    </row>
    <row r="50">
      <c r="B50" s="2" t="s">
        <v>169</v>
      </c>
      <c r="C50" s="18" t="str">
        <f t="shared" si="1"/>
        <v>0481-13-05</v>
      </c>
      <c r="D50" s="19" t="s">
        <v>208</v>
      </c>
    </row>
    <row r="51">
      <c r="B51" s="2">
        <v>9756732.0</v>
      </c>
      <c r="C51" s="18" t="str">
        <f t="shared" si="1"/>
        <v>0489756732</v>
      </c>
      <c r="D51" s="19">
        <v>4.89756732E8</v>
      </c>
    </row>
    <row r="52">
      <c r="B52" s="2">
        <v>9964190.0</v>
      </c>
      <c r="C52" s="18" t="str">
        <f t="shared" si="1"/>
        <v>0489964190</v>
      </c>
      <c r="D52" s="19">
        <v>4.8996419E8</v>
      </c>
    </row>
    <row r="53">
      <c r="B53" s="2">
        <v>8800416.0</v>
      </c>
      <c r="C53" s="18" t="str">
        <f t="shared" si="1"/>
        <v>0488800416</v>
      </c>
      <c r="D53" s="19">
        <v>4.88800416E8</v>
      </c>
    </row>
    <row r="54">
      <c r="B54" s="2">
        <v>3956665.0</v>
      </c>
      <c r="C54" s="18" t="str">
        <f t="shared" si="1"/>
        <v>0483956665</v>
      </c>
      <c r="D54" s="19">
        <v>4.83956665E8</v>
      </c>
    </row>
    <row r="55">
      <c r="B55" s="2">
        <v>4894869.0</v>
      </c>
      <c r="C55" s="18" t="str">
        <f t="shared" si="1"/>
        <v>0484894869</v>
      </c>
      <c r="D55" s="19">
        <v>4.84894869E8</v>
      </c>
    </row>
    <row r="56">
      <c r="B56" s="33" t="s">
        <v>220</v>
      </c>
      <c r="C56" s="18" t="str">
        <f t="shared" si="1"/>
        <v>#N/A</v>
      </c>
      <c r="D56" s="19" t="e">
        <v>#N/A</v>
      </c>
    </row>
    <row r="57">
      <c r="B57" s="2">
        <v>1835410.0</v>
      </c>
      <c r="C57" s="18" t="str">
        <f t="shared" si="1"/>
        <v>0481835410</v>
      </c>
      <c r="D57" s="19">
        <v>4.8183541E8</v>
      </c>
    </row>
    <row r="58">
      <c r="B58" s="2">
        <v>9480565.0</v>
      </c>
      <c r="C58" s="18" t="str">
        <f t="shared" si="1"/>
        <v>0489480565</v>
      </c>
      <c r="D58" s="19">
        <v>4.89480565E8</v>
      </c>
    </row>
    <row r="59">
      <c r="B59" s="2">
        <v>473797.0</v>
      </c>
      <c r="C59" s="18" t="str">
        <f t="shared" si="1"/>
        <v>0482473797</v>
      </c>
      <c r="D59" s="19">
        <v>4.82473797E8</v>
      </c>
    </row>
    <row r="60">
      <c r="B60" s="2">
        <v>2691606.0</v>
      </c>
      <c r="C60" s="18" t="str">
        <f t="shared" si="1"/>
        <v>0482691606</v>
      </c>
      <c r="D60" s="19">
        <v>4.82691606E8</v>
      </c>
    </row>
    <row r="61">
      <c r="B61" s="2">
        <v>7884919.0</v>
      </c>
      <c r="C61" s="18" t="str">
        <f t="shared" si="1"/>
        <v>0487884919</v>
      </c>
      <c r="D61" s="19">
        <v>4.87884919E8</v>
      </c>
    </row>
    <row r="62">
      <c r="B62" s="2">
        <v>7265893.0</v>
      </c>
      <c r="C62" s="18" t="str">
        <f t="shared" si="1"/>
        <v>0487265893</v>
      </c>
      <c r="D62" s="19">
        <v>4.87265893E8</v>
      </c>
    </row>
    <row r="63">
      <c r="B63" s="2" t="s">
        <v>196</v>
      </c>
      <c r="C63" s="18" t="str">
        <f t="shared" si="1"/>
        <v>0480-37-97</v>
      </c>
      <c r="D63" s="19" t="s">
        <v>230</v>
      </c>
    </row>
    <row r="64">
      <c r="B64" s="2">
        <v>7741071.0</v>
      </c>
      <c r="C64" s="18" t="str">
        <f t="shared" si="1"/>
        <v>0487741071</v>
      </c>
      <c r="D64" s="19">
        <v>4.87741071E8</v>
      </c>
    </row>
    <row r="65">
      <c r="B65" s="2">
        <v>4862743.0</v>
      </c>
      <c r="C65" s="18" t="str">
        <f t="shared" si="1"/>
        <v>0484862743</v>
      </c>
      <c r="D65" s="19">
        <v>4.84862743E8</v>
      </c>
    </row>
    <row r="66">
      <c r="B66" s="2">
        <v>2839081.0</v>
      </c>
      <c r="C66" s="18" t="str">
        <f t="shared" si="1"/>
        <v>0482839081</v>
      </c>
      <c r="D66" s="19">
        <v>4.82839081E8</v>
      </c>
    </row>
    <row r="67">
      <c r="B67" s="2">
        <v>4810370.0</v>
      </c>
      <c r="C67" s="18" t="str">
        <f t="shared" si="1"/>
        <v>0484810370</v>
      </c>
      <c r="D67" s="19">
        <v>4.8481037E8</v>
      </c>
    </row>
    <row r="68">
      <c r="B68" s="2">
        <v>1228090.0</v>
      </c>
      <c r="C68" s="18" t="str">
        <f t="shared" si="1"/>
        <v>0481228090</v>
      </c>
      <c r="D68" s="19">
        <v>4.8122809E8</v>
      </c>
    </row>
    <row r="69">
      <c r="B69" s="2">
        <v>1228090.0</v>
      </c>
      <c r="C69" s="18" t="str">
        <f t="shared" si="1"/>
        <v>0481228090</v>
      </c>
      <c r="D69" s="19">
        <v>4.8122809E8</v>
      </c>
    </row>
    <row r="70">
      <c r="B70" s="2">
        <v>1228090.0</v>
      </c>
      <c r="C70" s="18" t="str">
        <f t="shared" si="1"/>
        <v>0481228090</v>
      </c>
      <c r="D70" s="19">
        <v>4.8122809E8</v>
      </c>
    </row>
    <row r="71">
      <c r="B71" s="2">
        <v>9131074.0</v>
      </c>
      <c r="C71" s="18" t="str">
        <f t="shared" si="1"/>
        <v>0489131074</v>
      </c>
      <c r="D71" s="19">
        <v>4.89131074E8</v>
      </c>
    </row>
    <row r="72">
      <c r="B72" s="2">
        <v>2353219.0</v>
      </c>
      <c r="C72" s="18" t="str">
        <f t="shared" si="1"/>
        <v>0482353219</v>
      </c>
      <c r="D72" s="19">
        <v>4.82353219E8</v>
      </c>
    </row>
    <row r="73">
      <c r="B73" s="2">
        <v>1228090.0</v>
      </c>
      <c r="C73" s="18" t="str">
        <f t="shared" si="1"/>
        <v>0481228090</v>
      </c>
      <c r="D73" s="19">
        <v>4.8122809E8</v>
      </c>
    </row>
    <row r="74">
      <c r="B74" s="2">
        <v>8897706.0</v>
      </c>
      <c r="C74" s="18" t="str">
        <f t="shared" si="1"/>
        <v>0488897706</v>
      </c>
      <c r="D74" s="19">
        <v>4.88897706E8</v>
      </c>
    </row>
    <row r="75">
      <c r="B75" s="2">
        <v>6512497.0</v>
      </c>
      <c r="C75" s="18" t="str">
        <f t="shared" si="1"/>
        <v>0486512497</v>
      </c>
      <c r="D75" s="19">
        <v>4.86512497E8</v>
      </c>
    </row>
    <row r="76">
      <c r="B76" s="2">
        <v>9643483.0</v>
      </c>
      <c r="C76" s="18" t="str">
        <f t="shared" si="1"/>
        <v>0489643483</v>
      </c>
      <c r="D76" s="19">
        <v>4.89643483E8</v>
      </c>
    </row>
    <row r="77">
      <c r="B77" s="2">
        <v>9790701.0</v>
      </c>
      <c r="C77" s="18" t="str">
        <f t="shared" si="1"/>
        <v>0489790701</v>
      </c>
      <c r="D77" s="19">
        <v>4.89790701E8</v>
      </c>
    </row>
    <row r="78">
      <c r="B78" s="2">
        <v>2280502.0</v>
      </c>
      <c r="C78" s="18" t="str">
        <f t="shared" si="1"/>
        <v>0482280502</v>
      </c>
      <c r="D78" s="19">
        <v>4.82280502E8</v>
      </c>
    </row>
    <row r="79">
      <c r="B79" s="2">
        <v>3751882.0</v>
      </c>
      <c r="C79" s="18" t="str">
        <f t="shared" si="1"/>
        <v>0483751882</v>
      </c>
      <c r="D79" s="19">
        <v>4.83751882E8</v>
      </c>
    </row>
    <row r="80">
      <c r="B80" s="2">
        <v>494590.0</v>
      </c>
      <c r="C80" s="18" t="str">
        <f t="shared" si="1"/>
        <v>0482494590</v>
      </c>
      <c r="D80" s="19">
        <v>4.8249459E8</v>
      </c>
    </row>
    <row r="81">
      <c r="B81" s="2">
        <v>494590.0</v>
      </c>
      <c r="C81" s="18" t="str">
        <f t="shared" si="1"/>
        <v>0482494590</v>
      </c>
      <c r="D81" s="19">
        <v>4.8249459E8</v>
      </c>
    </row>
    <row r="82">
      <c r="B82" s="2">
        <v>494590.0</v>
      </c>
      <c r="C82" s="18" t="str">
        <f t="shared" si="1"/>
        <v>0482494590</v>
      </c>
      <c r="D82" s="19">
        <v>4.8249459E8</v>
      </c>
    </row>
    <row r="83">
      <c r="B83" s="2">
        <v>9494201.0</v>
      </c>
      <c r="C83" s="18" t="str">
        <f t="shared" si="1"/>
        <v>0489494201</v>
      </c>
      <c r="D83" s="19">
        <v>4.89494201E8</v>
      </c>
    </row>
    <row r="84">
      <c r="B84" s="2">
        <v>4154059.0</v>
      </c>
      <c r="C84" s="18" t="str">
        <f t="shared" si="1"/>
        <v>0484154059</v>
      </c>
      <c r="D84" s="19">
        <v>4.84154059E8</v>
      </c>
    </row>
    <row r="85">
      <c r="B85" s="2">
        <v>2710230.0</v>
      </c>
      <c r="C85" s="18" t="str">
        <f t="shared" si="1"/>
        <v>0482710230</v>
      </c>
      <c r="D85" s="19">
        <v>4.8271023E8</v>
      </c>
    </row>
    <row r="86">
      <c r="B86" s="2">
        <v>3160577.0</v>
      </c>
      <c r="C86" s="18" t="str">
        <f t="shared" si="1"/>
        <v>0483160577</v>
      </c>
      <c r="D86" s="19">
        <v>4.83160577E8</v>
      </c>
    </row>
    <row r="87">
      <c r="B87" s="2">
        <v>4902410.0</v>
      </c>
      <c r="C87" s="18" t="str">
        <f t="shared" si="1"/>
        <v>0484902410</v>
      </c>
      <c r="D87" s="19">
        <v>4.8490241E8</v>
      </c>
    </row>
    <row r="88">
      <c r="B88" s="2">
        <v>6381157.0</v>
      </c>
      <c r="C88" s="18" t="str">
        <f t="shared" si="1"/>
        <v>0486381157</v>
      </c>
      <c r="D88" s="19">
        <v>4.86381157E8</v>
      </c>
    </row>
    <row r="89">
      <c r="B89" s="2">
        <v>4850341.0</v>
      </c>
      <c r="C89" s="18" t="str">
        <f t="shared" si="1"/>
        <v>0484850341</v>
      </c>
      <c r="D89" s="19">
        <v>4.84850341E8</v>
      </c>
    </row>
    <row r="90">
      <c r="B90" s="2">
        <v>1461917.0</v>
      </c>
      <c r="C90" s="18" t="str">
        <f t="shared" si="1"/>
        <v>0481461917</v>
      </c>
      <c r="D90" s="19">
        <v>4.81461917E8</v>
      </c>
    </row>
    <row r="91">
      <c r="B91" s="2">
        <v>1461917.0</v>
      </c>
      <c r="C91" s="18" t="str">
        <f t="shared" si="1"/>
        <v>0481461917</v>
      </c>
      <c r="D91" s="19">
        <v>4.81461917E8</v>
      </c>
    </row>
    <row r="92">
      <c r="B92" s="2">
        <v>6516640.0</v>
      </c>
      <c r="C92" s="18" t="str">
        <f t="shared" si="1"/>
        <v>0486516640</v>
      </c>
      <c r="D92" s="19">
        <v>4.8651664E8</v>
      </c>
    </row>
    <row r="93">
      <c r="B93" s="2">
        <v>5075418.0</v>
      </c>
      <c r="C93" s="18" t="str">
        <f t="shared" si="1"/>
        <v>0485075418</v>
      </c>
      <c r="D93" s="19">
        <v>4.85075418E8</v>
      </c>
    </row>
    <row r="94">
      <c r="B94" s="2">
        <v>5299201.0</v>
      </c>
      <c r="C94" s="18" t="str">
        <f t="shared" si="1"/>
        <v>0485299201</v>
      </c>
      <c r="D94" s="19">
        <v>4.85299201E8</v>
      </c>
    </row>
    <row r="95">
      <c r="B95" s="2">
        <v>23504.0</v>
      </c>
      <c r="C95" s="18" t="str">
        <f t="shared" si="1"/>
        <v>#N/A</v>
      </c>
      <c r="D95" s="19" t="e">
        <v>#N/A</v>
      </c>
    </row>
    <row r="96">
      <c r="B96" s="2">
        <v>8541298.0</v>
      </c>
      <c r="C96" s="18" t="str">
        <f t="shared" si="1"/>
        <v>0488541298</v>
      </c>
      <c r="D96" s="19">
        <v>4.88541298E8</v>
      </c>
    </row>
    <row r="97">
      <c r="B97" s="2">
        <v>6099308.0</v>
      </c>
      <c r="C97" s="18" t="str">
        <f t="shared" si="1"/>
        <v>0486099308</v>
      </c>
      <c r="D97" s="19">
        <v>4.86099308E8</v>
      </c>
    </row>
    <row r="98">
      <c r="B98" s="2">
        <v>2713602.0</v>
      </c>
      <c r="C98" s="18" t="str">
        <f t="shared" si="1"/>
        <v>0482713602</v>
      </c>
      <c r="D98" s="19">
        <v>4.82713602E8</v>
      </c>
    </row>
    <row r="99">
      <c r="B99" s="2">
        <v>3956665.0</v>
      </c>
      <c r="C99" s="18" t="str">
        <f t="shared" si="1"/>
        <v>0483956665</v>
      </c>
      <c r="D99" s="19">
        <v>4.83956665E8</v>
      </c>
    </row>
    <row r="100">
      <c r="B100" s="2">
        <v>5001790.0</v>
      </c>
      <c r="C100" s="18" t="str">
        <f t="shared" si="1"/>
        <v>0485001790</v>
      </c>
      <c r="D100" s="19">
        <v>4.8500179E8</v>
      </c>
    </row>
    <row r="101">
      <c r="B101" s="2" t="s">
        <v>253</v>
      </c>
      <c r="C101" s="18" t="str">
        <f t="shared" si="1"/>
        <v>0485-99-02</v>
      </c>
      <c r="D101" s="19" t="s">
        <v>276</v>
      </c>
    </row>
    <row r="102">
      <c r="B102" s="2">
        <v>6463984.0</v>
      </c>
      <c r="C102" s="18" t="str">
        <f t="shared" si="1"/>
        <v>0486463984</v>
      </c>
      <c r="D102" s="19">
        <v>4.86463984E8</v>
      </c>
    </row>
    <row r="103">
      <c r="B103" s="2">
        <v>3131789.0</v>
      </c>
      <c r="C103" s="18" t="str">
        <f t="shared" si="1"/>
        <v>0483131789</v>
      </c>
      <c r="D103" s="19">
        <v>4.83131789E8</v>
      </c>
    </row>
    <row r="104">
      <c r="B104" s="2">
        <v>1466009.0</v>
      </c>
      <c r="C104" s="18" t="str">
        <f t="shared" si="1"/>
        <v>0481466009</v>
      </c>
      <c r="D104" s="19">
        <v>4.81466009E8</v>
      </c>
    </row>
    <row r="105">
      <c r="C105" s="18"/>
      <c r="D105" s="19"/>
    </row>
    <row r="106">
      <c r="C106" s="18"/>
      <c r="D106" s="19"/>
    </row>
    <row r="107">
      <c r="C107" s="18"/>
      <c r="D107" s="19"/>
    </row>
    <row r="108">
      <c r="C108" s="18"/>
      <c r="D108" s="19"/>
    </row>
    <row r="109">
      <c r="C109" s="18"/>
      <c r="D109" s="19"/>
    </row>
    <row r="110">
      <c r="C110" s="18"/>
      <c r="D110" s="19"/>
    </row>
    <row r="111">
      <c r="C111" s="18"/>
      <c r="D111" s="19"/>
    </row>
    <row r="112">
      <c r="C112" s="18"/>
      <c r="D112" s="19"/>
    </row>
    <row r="113">
      <c r="C113" s="18"/>
      <c r="D113" s="19"/>
    </row>
    <row r="114">
      <c r="C114" s="18"/>
      <c r="D114" s="19"/>
    </row>
    <row r="115">
      <c r="C115" s="18"/>
      <c r="D115" s="19"/>
    </row>
    <row r="116">
      <c r="C116" s="18"/>
      <c r="D116" s="19"/>
    </row>
    <row r="117">
      <c r="C117" s="18"/>
      <c r="D117" s="19"/>
    </row>
    <row r="118">
      <c r="C118" s="18"/>
      <c r="D118" s="19"/>
    </row>
    <row r="119">
      <c r="C119" s="18"/>
      <c r="D119" s="19"/>
    </row>
    <row r="120">
      <c r="C120" s="18"/>
      <c r="D120" s="19"/>
    </row>
    <row r="121">
      <c r="C121" s="18"/>
      <c r="D121" s="19"/>
    </row>
    <row r="122">
      <c r="C122" s="18"/>
      <c r="D122" s="19"/>
    </row>
    <row r="123">
      <c r="C123" s="18"/>
      <c r="D123" s="19"/>
    </row>
    <row r="124">
      <c r="C124" s="18"/>
      <c r="D124" s="19"/>
    </row>
    <row r="125">
      <c r="C125" s="18"/>
      <c r="D125" s="19"/>
    </row>
    <row r="126">
      <c r="C126" s="18"/>
      <c r="D126" s="19"/>
    </row>
    <row r="127">
      <c r="C127" s="18"/>
      <c r="D127" s="19"/>
    </row>
    <row r="128">
      <c r="C128" s="18"/>
      <c r="D128" s="19"/>
    </row>
    <row r="129">
      <c r="C129" s="18"/>
      <c r="D129" s="19"/>
    </row>
    <row r="130">
      <c r="C130" s="18"/>
      <c r="D130" s="19"/>
    </row>
    <row r="131">
      <c r="C131" s="18"/>
      <c r="D131" s="19"/>
    </row>
    <row r="132">
      <c r="C132" s="18"/>
      <c r="D132" s="19"/>
    </row>
    <row r="133">
      <c r="C133" s="18"/>
      <c r="D133" s="19"/>
    </row>
    <row r="134">
      <c r="C134" s="18"/>
      <c r="D134" s="19"/>
    </row>
    <row r="135">
      <c r="C135" s="18"/>
      <c r="D135" s="19"/>
    </row>
    <row r="136">
      <c r="C136" s="18"/>
      <c r="D136" s="19"/>
    </row>
    <row r="137">
      <c r="C137" s="18"/>
      <c r="D137" s="19"/>
    </row>
    <row r="138">
      <c r="C138" s="18"/>
      <c r="D138" s="19"/>
    </row>
    <row r="139">
      <c r="C139" s="18"/>
      <c r="D139" s="19"/>
    </row>
    <row r="140">
      <c r="C140" s="18"/>
      <c r="D140" s="19"/>
    </row>
    <row r="141">
      <c r="C141" s="18"/>
      <c r="D141" s="19"/>
    </row>
    <row r="142">
      <c r="C142" s="18"/>
      <c r="D142" s="19"/>
    </row>
    <row r="143">
      <c r="C143" s="18"/>
      <c r="D143" s="19"/>
    </row>
    <row r="144">
      <c r="C144" s="18"/>
      <c r="D144" s="19"/>
    </row>
    <row r="145">
      <c r="C145" s="18"/>
      <c r="D145" s="19"/>
    </row>
    <row r="146">
      <c r="C146" s="18"/>
      <c r="D146" s="19"/>
    </row>
    <row r="147">
      <c r="C147" s="18"/>
      <c r="D147" s="19"/>
    </row>
    <row r="148">
      <c r="C148" s="18"/>
      <c r="D148" s="19"/>
    </row>
    <row r="149">
      <c r="C149" s="18"/>
      <c r="D149" s="19"/>
    </row>
    <row r="150">
      <c r="C150" s="18"/>
      <c r="D150" s="19"/>
    </row>
    <row r="151">
      <c r="C151" s="18"/>
      <c r="D151" s="19"/>
    </row>
    <row r="152">
      <c r="C152" s="18"/>
      <c r="D152" s="19"/>
    </row>
    <row r="153">
      <c r="C153" s="18"/>
      <c r="D153" s="19"/>
    </row>
    <row r="154">
      <c r="C154" s="18"/>
      <c r="D154" s="19"/>
    </row>
    <row r="155">
      <c r="C155" s="18"/>
      <c r="D155" s="19"/>
    </row>
    <row r="156">
      <c r="C156" s="18"/>
      <c r="D156" s="19"/>
    </row>
    <row r="157">
      <c r="C157" s="18"/>
      <c r="D157" s="19"/>
    </row>
    <row r="158">
      <c r="C158" s="18"/>
      <c r="D158" s="19"/>
    </row>
    <row r="159">
      <c r="C159" s="18"/>
      <c r="D159" s="19"/>
    </row>
    <row r="160">
      <c r="C160" s="18"/>
      <c r="D160" s="19"/>
    </row>
    <row r="161">
      <c r="C161" s="18"/>
      <c r="D161" s="19"/>
    </row>
    <row r="162">
      <c r="C162" s="18"/>
      <c r="D162" s="19"/>
    </row>
    <row r="163">
      <c r="C163" s="18"/>
      <c r="D163" s="19"/>
    </row>
    <row r="164">
      <c r="C164" s="18"/>
      <c r="D164" s="19"/>
    </row>
    <row r="165">
      <c r="C165" s="18"/>
      <c r="D165" s="19"/>
    </row>
    <row r="166">
      <c r="C166" s="18"/>
      <c r="D166" s="19"/>
    </row>
    <row r="167">
      <c r="C167" s="18"/>
      <c r="D167" s="19"/>
    </row>
    <row r="168">
      <c r="C168" s="18"/>
      <c r="D168" s="19"/>
    </row>
    <row r="169">
      <c r="C169" s="18"/>
      <c r="D169" s="19"/>
    </row>
    <row r="170">
      <c r="C170" s="18"/>
      <c r="D170" s="19"/>
    </row>
    <row r="171">
      <c r="C171" s="18"/>
      <c r="D171" s="19"/>
    </row>
    <row r="172">
      <c r="C172" s="18"/>
      <c r="D172" s="19"/>
    </row>
    <row r="173">
      <c r="C173" s="18"/>
      <c r="D173" s="19"/>
    </row>
    <row r="174">
      <c r="C174" s="18"/>
      <c r="D174" s="19"/>
    </row>
    <row r="175">
      <c r="C175" s="18"/>
      <c r="D175" s="19"/>
    </row>
    <row r="176">
      <c r="C176" s="18"/>
      <c r="D176" s="19"/>
    </row>
    <row r="177">
      <c r="C177" s="18"/>
      <c r="D177" s="19"/>
    </row>
    <row r="178">
      <c r="C178" s="18"/>
      <c r="D178" s="19"/>
    </row>
    <row r="179">
      <c r="C179" s="18"/>
      <c r="D179" s="19"/>
    </row>
    <row r="180">
      <c r="C180" s="18"/>
      <c r="D180" s="19"/>
    </row>
    <row r="181">
      <c r="C181" s="18"/>
      <c r="D181" s="19"/>
    </row>
    <row r="182">
      <c r="C182" s="18"/>
      <c r="D182" s="19"/>
    </row>
    <row r="183">
      <c r="C183" s="18"/>
      <c r="D183" s="19"/>
    </row>
    <row r="184">
      <c r="C184" s="18"/>
      <c r="D184" s="19"/>
    </row>
    <row r="185">
      <c r="C185" s="18"/>
      <c r="D185" s="19"/>
    </row>
    <row r="186">
      <c r="C186" s="18"/>
      <c r="D186" s="19"/>
    </row>
    <row r="187">
      <c r="C187" s="18"/>
      <c r="D187" s="19"/>
    </row>
    <row r="188">
      <c r="C188" s="18"/>
      <c r="D188" s="19"/>
    </row>
    <row r="189">
      <c r="C189" s="18"/>
      <c r="D189" s="19"/>
    </row>
    <row r="190">
      <c r="C190" s="18"/>
      <c r="D190" s="19"/>
    </row>
    <row r="191">
      <c r="C191" s="18"/>
      <c r="D191" s="19"/>
    </row>
    <row r="192">
      <c r="C192" s="18"/>
      <c r="D192" s="19"/>
    </row>
    <row r="193">
      <c r="C193" s="18"/>
      <c r="D193" s="19"/>
    </row>
    <row r="194">
      <c r="C194" s="18"/>
      <c r="D194" s="19"/>
    </row>
    <row r="195">
      <c r="C195" s="18"/>
      <c r="D195" s="19"/>
    </row>
    <row r="196">
      <c r="C196" s="18"/>
      <c r="D196" s="19"/>
    </row>
    <row r="197">
      <c r="C197" s="18"/>
      <c r="D197" s="19"/>
    </row>
    <row r="198">
      <c r="C198" s="18"/>
      <c r="D198" s="19"/>
    </row>
    <row r="199">
      <c r="C199" s="18"/>
      <c r="D199" s="19"/>
    </row>
    <row r="200">
      <c r="C200" s="18"/>
      <c r="D200" s="19"/>
    </row>
    <row r="201">
      <c r="C201" s="18"/>
      <c r="D201" s="19"/>
    </row>
    <row r="202">
      <c r="C202" s="18"/>
      <c r="D202" s="19"/>
    </row>
    <row r="203">
      <c r="C203" s="18"/>
      <c r="D203" s="19"/>
    </row>
    <row r="204">
      <c r="C204" s="18"/>
      <c r="D204" s="19"/>
    </row>
    <row r="205">
      <c r="C205" s="18"/>
      <c r="D205" s="19"/>
    </row>
    <row r="206">
      <c r="C206" s="18"/>
      <c r="D206" s="19"/>
    </row>
    <row r="207">
      <c r="C207" s="18"/>
      <c r="D207" s="19"/>
    </row>
    <row r="208">
      <c r="C208" s="18"/>
      <c r="D208" s="19"/>
    </row>
    <row r="209">
      <c r="C209" s="18"/>
      <c r="D209" s="19"/>
    </row>
    <row r="210">
      <c r="C210" s="18"/>
      <c r="D210" s="19"/>
    </row>
    <row r="211">
      <c r="C211" s="18"/>
      <c r="D211" s="19"/>
    </row>
    <row r="212">
      <c r="C212" s="18"/>
      <c r="D212" s="19"/>
    </row>
    <row r="213">
      <c r="C213" s="18"/>
      <c r="D213" s="19"/>
    </row>
    <row r="214">
      <c r="C214" s="18"/>
      <c r="D214" s="19"/>
    </row>
    <row r="215">
      <c r="C215" s="18"/>
      <c r="D215" s="19"/>
    </row>
    <row r="216">
      <c r="C216" s="18"/>
      <c r="D216" s="19"/>
    </row>
    <row r="217">
      <c r="C217" s="18"/>
      <c r="D217" s="19"/>
    </row>
    <row r="218">
      <c r="C218" s="18"/>
      <c r="D218" s="19"/>
    </row>
    <row r="219">
      <c r="C219" s="18"/>
      <c r="D219" s="19"/>
    </row>
    <row r="220">
      <c r="C220" s="18"/>
      <c r="D220" s="19"/>
    </row>
    <row r="221">
      <c r="C221" s="18"/>
      <c r="D221" s="19"/>
    </row>
    <row r="222">
      <c r="C222" s="18"/>
      <c r="D222" s="19"/>
    </row>
    <row r="223">
      <c r="C223" s="18"/>
      <c r="D223" s="19"/>
    </row>
    <row r="224">
      <c r="C224" s="18"/>
      <c r="D224" s="19"/>
    </row>
    <row r="225">
      <c r="C225" s="18"/>
      <c r="D225" s="19"/>
    </row>
    <row r="226">
      <c r="C226" s="18"/>
      <c r="D226" s="19"/>
    </row>
    <row r="227">
      <c r="C227" s="18"/>
      <c r="D227" s="19"/>
    </row>
    <row r="228">
      <c r="C228" s="18"/>
      <c r="D228" s="19"/>
    </row>
    <row r="229">
      <c r="C229" s="18"/>
      <c r="D229" s="19"/>
    </row>
    <row r="230">
      <c r="C230" s="18"/>
      <c r="D230" s="19"/>
    </row>
    <row r="231">
      <c r="C231" s="18"/>
      <c r="D231" s="19"/>
    </row>
    <row r="232">
      <c r="C232" s="18"/>
      <c r="D232" s="19"/>
    </row>
    <row r="233">
      <c r="C233" s="18"/>
      <c r="D233" s="19"/>
    </row>
    <row r="234">
      <c r="C234" s="18"/>
      <c r="D234" s="19"/>
    </row>
    <row r="235">
      <c r="C235" s="18"/>
      <c r="D235" s="19"/>
    </row>
    <row r="236">
      <c r="C236" s="18"/>
      <c r="D236" s="19"/>
    </row>
    <row r="237">
      <c r="C237" s="18"/>
      <c r="D237" s="19"/>
    </row>
    <row r="238">
      <c r="C238" s="18"/>
      <c r="D238" s="19"/>
    </row>
    <row r="239">
      <c r="C239" s="18"/>
      <c r="D239" s="19"/>
    </row>
    <row r="240">
      <c r="C240" s="18"/>
      <c r="D240" s="19"/>
    </row>
    <row r="241">
      <c r="C241" s="18"/>
      <c r="D241" s="19"/>
    </row>
    <row r="242">
      <c r="C242" s="18"/>
      <c r="D242" s="19"/>
    </row>
    <row r="243">
      <c r="C243" s="18"/>
      <c r="D243" s="19"/>
    </row>
    <row r="244">
      <c r="C244" s="18"/>
      <c r="D244" s="19"/>
    </row>
    <row r="245">
      <c r="C245" s="18"/>
      <c r="D245" s="19"/>
    </row>
    <row r="246">
      <c r="C246" s="18"/>
      <c r="D246" s="19"/>
    </row>
    <row r="247">
      <c r="C247" s="18"/>
      <c r="D247" s="19"/>
    </row>
    <row r="248">
      <c r="C248" s="18"/>
      <c r="D248" s="19"/>
    </row>
    <row r="249">
      <c r="C249" s="18"/>
      <c r="D249" s="19"/>
    </row>
    <row r="250">
      <c r="C250" s="18"/>
      <c r="D250" s="19"/>
    </row>
    <row r="251">
      <c r="C251" s="18"/>
      <c r="D251" s="19"/>
    </row>
    <row r="252">
      <c r="C252" s="18"/>
      <c r="D252" s="19"/>
    </row>
    <row r="253">
      <c r="C253" s="18"/>
      <c r="D253" s="19"/>
    </row>
    <row r="254">
      <c r="C254" s="18"/>
      <c r="D254" s="19"/>
    </row>
    <row r="255">
      <c r="C255" s="18"/>
      <c r="D255" s="19"/>
    </row>
    <row r="256">
      <c r="C256" s="18"/>
      <c r="D256" s="19"/>
    </row>
    <row r="257">
      <c r="C257" s="18"/>
      <c r="D257" s="19"/>
    </row>
    <row r="258">
      <c r="C258" s="18"/>
      <c r="D258" s="19"/>
    </row>
    <row r="259">
      <c r="C259" s="18"/>
      <c r="D259" s="19"/>
    </row>
    <row r="260">
      <c r="C260" s="18"/>
      <c r="D260" s="19"/>
    </row>
    <row r="261">
      <c r="C261" s="18"/>
      <c r="D261" s="19"/>
    </row>
    <row r="262">
      <c r="C262" s="18"/>
      <c r="D262" s="19"/>
    </row>
    <row r="263">
      <c r="C263" s="18"/>
      <c r="D263" s="19"/>
    </row>
    <row r="264">
      <c r="C264" s="18"/>
      <c r="D264" s="19"/>
    </row>
    <row r="265">
      <c r="C265" s="18"/>
      <c r="D265" s="19"/>
    </row>
    <row r="266">
      <c r="C266" s="18"/>
      <c r="D266" s="19"/>
    </row>
    <row r="267">
      <c r="C267" s="18"/>
      <c r="D267" s="19"/>
    </row>
    <row r="268">
      <c r="C268" s="18"/>
      <c r="D268" s="19"/>
    </row>
    <row r="269">
      <c r="C269" s="18"/>
      <c r="D269" s="19"/>
    </row>
    <row r="270">
      <c r="C270" s="18"/>
      <c r="D270" s="19"/>
    </row>
    <row r="271">
      <c r="C271" s="18"/>
      <c r="D271" s="19"/>
    </row>
    <row r="272">
      <c r="C272" s="18"/>
      <c r="D272" s="19"/>
    </row>
    <row r="273">
      <c r="C273" s="18"/>
      <c r="D273" s="19"/>
    </row>
    <row r="274">
      <c r="C274" s="18"/>
      <c r="D274" s="19"/>
    </row>
    <row r="275">
      <c r="C275" s="18"/>
      <c r="D275" s="19"/>
    </row>
    <row r="276">
      <c r="C276" s="18"/>
      <c r="D276" s="19"/>
    </row>
    <row r="277">
      <c r="C277" s="18"/>
      <c r="D277" s="19"/>
    </row>
    <row r="278">
      <c r="C278" s="18"/>
      <c r="D278" s="19"/>
    </row>
    <row r="279">
      <c r="C279" s="18"/>
      <c r="D279" s="19"/>
    </row>
    <row r="280">
      <c r="C280" s="18"/>
      <c r="D280" s="19"/>
    </row>
    <row r="281">
      <c r="C281" s="18"/>
      <c r="D281" s="19"/>
    </row>
    <row r="282">
      <c r="C282" s="18"/>
      <c r="D282" s="19"/>
    </row>
    <row r="283">
      <c r="C283" s="18"/>
      <c r="D283" s="19"/>
    </row>
    <row r="284">
      <c r="C284" s="18"/>
      <c r="D284" s="19"/>
    </row>
    <row r="285">
      <c r="C285" s="18"/>
      <c r="D285" s="19"/>
    </row>
    <row r="286">
      <c r="C286" s="18"/>
      <c r="D286" s="19"/>
    </row>
    <row r="287">
      <c r="C287" s="18"/>
      <c r="D287" s="19"/>
    </row>
    <row r="288">
      <c r="C288" s="18"/>
      <c r="D288" s="19"/>
    </row>
    <row r="289">
      <c r="C289" s="18"/>
      <c r="D289" s="19"/>
    </row>
    <row r="290">
      <c r="C290" s="18"/>
      <c r="D290" s="19"/>
    </row>
    <row r="291">
      <c r="C291" s="18"/>
      <c r="D291" s="19"/>
    </row>
    <row r="292">
      <c r="C292" s="18"/>
      <c r="D292" s="19"/>
    </row>
    <row r="293">
      <c r="C293" s="18"/>
      <c r="D293" s="19"/>
    </row>
    <row r="294">
      <c r="C294" s="18"/>
      <c r="D294" s="19"/>
    </row>
    <row r="295">
      <c r="C295" s="18"/>
      <c r="D295" s="19"/>
    </row>
    <row r="296">
      <c r="C296" s="18"/>
      <c r="D296" s="19"/>
    </row>
    <row r="297">
      <c r="C297" s="18"/>
      <c r="D297" s="19"/>
    </row>
    <row r="298">
      <c r="C298" s="18"/>
      <c r="D298" s="19"/>
    </row>
    <row r="299">
      <c r="C299" s="18"/>
      <c r="D299" s="19"/>
    </row>
    <row r="300">
      <c r="C300" s="18"/>
      <c r="D300" s="19"/>
    </row>
    <row r="301">
      <c r="C301" s="18"/>
      <c r="D301" s="19"/>
    </row>
    <row r="302">
      <c r="C302" s="18"/>
      <c r="D302" s="19"/>
    </row>
    <row r="303">
      <c r="C303" s="18"/>
      <c r="D303" s="19"/>
    </row>
    <row r="304">
      <c r="C304" s="18"/>
      <c r="D304" s="19"/>
    </row>
    <row r="305">
      <c r="C305" s="18"/>
      <c r="D305" s="19"/>
    </row>
    <row r="306">
      <c r="C306" s="18"/>
      <c r="D306" s="19"/>
    </row>
    <row r="307">
      <c r="C307" s="18"/>
      <c r="D307" s="19"/>
    </row>
    <row r="308">
      <c r="C308" s="18"/>
      <c r="D308" s="19"/>
    </row>
    <row r="309">
      <c r="C309" s="18"/>
      <c r="D309" s="19"/>
    </row>
    <row r="310">
      <c r="C310" s="18"/>
      <c r="D310" s="19"/>
    </row>
    <row r="311">
      <c r="C311" s="18"/>
      <c r="D311" s="19"/>
    </row>
    <row r="312">
      <c r="C312" s="18"/>
      <c r="D312" s="19"/>
    </row>
    <row r="313">
      <c r="C313" s="18"/>
      <c r="D313" s="19"/>
    </row>
    <row r="314">
      <c r="C314" s="18"/>
      <c r="D314" s="19"/>
    </row>
    <row r="315">
      <c r="C315" s="18"/>
      <c r="D315" s="19"/>
    </row>
    <row r="316">
      <c r="C316" s="18"/>
      <c r="D316" s="19"/>
    </row>
    <row r="317">
      <c r="C317" s="18"/>
      <c r="D317" s="19"/>
    </row>
    <row r="318">
      <c r="C318" s="18"/>
      <c r="D318" s="19"/>
    </row>
    <row r="319">
      <c r="C319" s="18"/>
      <c r="D319" s="19"/>
    </row>
    <row r="320">
      <c r="C320" s="18"/>
      <c r="D320" s="19"/>
    </row>
    <row r="321">
      <c r="C321" s="18"/>
      <c r="D321" s="19"/>
    </row>
    <row r="322">
      <c r="C322" s="18"/>
      <c r="D322" s="19"/>
    </row>
    <row r="323">
      <c r="C323" s="18"/>
      <c r="D323" s="19"/>
    </row>
    <row r="324">
      <c r="C324" s="18"/>
      <c r="D324" s="19"/>
    </row>
    <row r="325">
      <c r="C325" s="18"/>
      <c r="D325" s="19"/>
    </row>
    <row r="326">
      <c r="C326" s="18"/>
      <c r="D326" s="19"/>
    </row>
    <row r="327">
      <c r="C327" s="18"/>
      <c r="D327" s="19"/>
    </row>
    <row r="328">
      <c r="C328" s="18"/>
      <c r="D328" s="19"/>
    </row>
    <row r="329">
      <c r="C329" s="18"/>
      <c r="D329" s="19"/>
    </row>
    <row r="330">
      <c r="C330" s="18"/>
      <c r="D330" s="19"/>
    </row>
    <row r="331">
      <c r="C331" s="18"/>
      <c r="D331" s="19"/>
    </row>
    <row r="332">
      <c r="C332" s="18"/>
      <c r="D332" s="19"/>
    </row>
    <row r="333">
      <c r="C333" s="18"/>
      <c r="D333" s="19"/>
    </row>
    <row r="334">
      <c r="C334" s="18"/>
      <c r="D334" s="19"/>
    </row>
    <row r="335">
      <c r="C335" s="18"/>
      <c r="D335" s="19"/>
    </row>
    <row r="336">
      <c r="C336" s="18"/>
      <c r="D336" s="19"/>
    </row>
    <row r="337">
      <c r="C337" s="18"/>
      <c r="D337" s="19"/>
    </row>
    <row r="338">
      <c r="C338" s="18"/>
      <c r="D338" s="19"/>
    </row>
    <row r="339">
      <c r="C339" s="18"/>
      <c r="D339" s="19"/>
    </row>
    <row r="340">
      <c r="C340" s="18"/>
      <c r="D340" s="19"/>
    </row>
    <row r="341">
      <c r="C341" s="18"/>
      <c r="D341" s="19"/>
    </row>
    <row r="342">
      <c r="C342" s="18"/>
      <c r="D342" s="19"/>
    </row>
    <row r="343">
      <c r="C343" s="18"/>
      <c r="D343" s="19"/>
    </row>
    <row r="344">
      <c r="C344" s="18"/>
      <c r="D344" s="19"/>
    </row>
    <row r="345">
      <c r="C345" s="18"/>
      <c r="D345" s="19"/>
    </row>
    <row r="346">
      <c r="C346" s="18"/>
      <c r="D346" s="19"/>
    </row>
    <row r="347">
      <c r="C347" s="18"/>
      <c r="D347" s="19"/>
    </row>
    <row r="348">
      <c r="C348" s="18"/>
      <c r="D348" s="19"/>
    </row>
    <row r="349">
      <c r="C349" s="18"/>
      <c r="D349" s="19"/>
    </row>
    <row r="350">
      <c r="C350" s="18"/>
      <c r="D350" s="19"/>
    </row>
    <row r="351">
      <c r="C351" s="18"/>
      <c r="D351" s="19"/>
    </row>
    <row r="352">
      <c r="C352" s="18"/>
      <c r="D352" s="19"/>
    </row>
    <row r="353">
      <c r="C353" s="18"/>
      <c r="D353" s="19"/>
    </row>
    <row r="354">
      <c r="C354" s="18"/>
      <c r="D354" s="19"/>
    </row>
    <row r="355">
      <c r="C355" s="18"/>
      <c r="D355" s="19"/>
    </row>
    <row r="356">
      <c r="C356" s="18"/>
      <c r="D356" s="19"/>
    </row>
    <row r="357">
      <c r="C357" s="18"/>
      <c r="D357" s="19"/>
    </row>
    <row r="358">
      <c r="C358" s="18"/>
      <c r="D358" s="19"/>
    </row>
    <row r="359">
      <c r="C359" s="18"/>
      <c r="D359" s="19"/>
    </row>
    <row r="360">
      <c r="C360" s="18"/>
      <c r="D360" s="19"/>
    </row>
    <row r="361">
      <c r="C361" s="18"/>
      <c r="D361" s="19"/>
    </row>
    <row r="362">
      <c r="C362" s="18"/>
      <c r="D362" s="19"/>
    </row>
    <row r="363">
      <c r="C363" s="18"/>
      <c r="D363" s="19"/>
    </row>
    <row r="364">
      <c r="C364" s="18"/>
      <c r="D364" s="19"/>
    </row>
    <row r="365">
      <c r="C365" s="18"/>
      <c r="D365" s="19"/>
    </row>
    <row r="366">
      <c r="C366" s="18"/>
      <c r="D366" s="19"/>
    </row>
    <row r="367">
      <c r="C367" s="18"/>
      <c r="D367" s="19"/>
    </row>
    <row r="368">
      <c r="C368" s="18"/>
      <c r="D368" s="19"/>
    </row>
    <row r="369">
      <c r="C369" s="18"/>
      <c r="D369" s="19"/>
    </row>
    <row r="370">
      <c r="C370" s="18"/>
      <c r="D370" s="19"/>
    </row>
    <row r="371">
      <c r="C371" s="18"/>
      <c r="D371" s="19"/>
    </row>
    <row r="372">
      <c r="C372" s="18"/>
      <c r="D372" s="19"/>
    </row>
    <row r="373">
      <c r="C373" s="18"/>
      <c r="D373" s="19"/>
    </row>
    <row r="374">
      <c r="C374" s="18"/>
      <c r="D374" s="19"/>
    </row>
    <row r="375">
      <c r="C375" s="18"/>
      <c r="D375" s="19"/>
    </row>
    <row r="376">
      <c r="C376" s="18"/>
      <c r="D376" s="19"/>
    </row>
    <row r="377">
      <c r="C377" s="18"/>
      <c r="D377" s="19"/>
    </row>
    <row r="378">
      <c r="C378" s="18"/>
      <c r="D378" s="19"/>
    </row>
    <row r="379">
      <c r="C379" s="18"/>
      <c r="D379" s="19"/>
    </row>
    <row r="380">
      <c r="C380" s="18"/>
      <c r="D380" s="19"/>
    </row>
    <row r="381">
      <c r="C381" s="18"/>
      <c r="D381" s="19"/>
    </row>
    <row r="382">
      <c r="C382" s="18"/>
      <c r="D382" s="19"/>
    </row>
    <row r="383">
      <c r="C383" s="18"/>
      <c r="D383" s="19"/>
    </row>
    <row r="384">
      <c r="C384" s="18"/>
      <c r="D384" s="19"/>
    </row>
    <row r="385">
      <c r="C385" s="18"/>
      <c r="D385" s="19"/>
    </row>
    <row r="386">
      <c r="C386" s="18"/>
      <c r="D386" s="19"/>
    </row>
    <row r="387">
      <c r="C387" s="18"/>
      <c r="D387" s="19"/>
    </row>
    <row r="388">
      <c r="C388" s="18"/>
      <c r="D388" s="19"/>
    </row>
    <row r="389">
      <c r="C389" s="18"/>
      <c r="D389" s="19"/>
    </row>
    <row r="390">
      <c r="C390" s="18"/>
      <c r="D390" s="19"/>
    </row>
    <row r="391">
      <c r="C391" s="18"/>
      <c r="D391" s="19"/>
    </row>
    <row r="392">
      <c r="C392" s="18"/>
      <c r="D392" s="19"/>
    </row>
    <row r="393">
      <c r="C393" s="18"/>
      <c r="D393" s="19"/>
    </row>
    <row r="394">
      <c r="C394" s="18"/>
      <c r="D394" s="19"/>
    </row>
    <row r="395">
      <c r="C395" s="18"/>
      <c r="D395" s="19"/>
    </row>
    <row r="396">
      <c r="C396" s="18"/>
      <c r="D396" s="19"/>
    </row>
    <row r="397">
      <c r="C397" s="18"/>
      <c r="D397" s="19"/>
    </row>
    <row r="398">
      <c r="C398" s="18"/>
      <c r="D398" s="19"/>
    </row>
    <row r="399">
      <c r="C399" s="18"/>
      <c r="D399" s="19"/>
    </row>
    <row r="400">
      <c r="C400" s="18"/>
      <c r="D400" s="19"/>
    </row>
    <row r="401">
      <c r="C401" s="18"/>
      <c r="D401" s="19"/>
    </row>
    <row r="402">
      <c r="C402" s="18"/>
      <c r="D402" s="19"/>
    </row>
    <row r="403">
      <c r="C403" s="18"/>
      <c r="D403" s="19"/>
    </row>
    <row r="404">
      <c r="C404" s="18"/>
      <c r="D404" s="19"/>
    </row>
    <row r="405">
      <c r="C405" s="18"/>
      <c r="D405" s="19"/>
    </row>
    <row r="406">
      <c r="C406" s="18"/>
      <c r="D406" s="19"/>
    </row>
    <row r="407">
      <c r="C407" s="18"/>
      <c r="D407" s="19"/>
    </row>
    <row r="408">
      <c r="C408" s="18"/>
      <c r="D408" s="19"/>
    </row>
    <row r="409">
      <c r="C409" s="18"/>
      <c r="D409" s="19"/>
    </row>
    <row r="410">
      <c r="C410" s="18"/>
      <c r="D410" s="19"/>
    </row>
    <row r="411">
      <c r="C411" s="18"/>
      <c r="D411" s="19"/>
    </row>
    <row r="412">
      <c r="C412" s="18"/>
      <c r="D412" s="19"/>
    </row>
    <row r="413">
      <c r="C413" s="18"/>
      <c r="D413" s="19"/>
    </row>
    <row r="414">
      <c r="C414" s="18"/>
      <c r="D414" s="19"/>
    </row>
    <row r="415">
      <c r="C415" s="18"/>
      <c r="D415" s="19"/>
    </row>
    <row r="416">
      <c r="C416" s="18"/>
      <c r="D416" s="19"/>
    </row>
    <row r="417">
      <c r="C417" s="18"/>
      <c r="D417" s="19"/>
    </row>
    <row r="418">
      <c r="C418" s="18"/>
      <c r="D418" s="19"/>
    </row>
    <row r="419">
      <c r="C419" s="18"/>
      <c r="D419" s="19"/>
    </row>
    <row r="420">
      <c r="C420" s="18"/>
      <c r="D420" s="19"/>
    </row>
    <row r="421">
      <c r="C421" s="18"/>
      <c r="D421" s="19"/>
    </row>
    <row r="422">
      <c r="C422" s="18"/>
      <c r="D422" s="19"/>
    </row>
    <row r="423">
      <c r="C423" s="18"/>
      <c r="D423" s="19"/>
    </row>
    <row r="424">
      <c r="C424" s="18"/>
      <c r="D424" s="19"/>
    </row>
    <row r="425">
      <c r="C425" s="18"/>
      <c r="D425" s="19"/>
    </row>
    <row r="426">
      <c r="C426" s="18"/>
      <c r="D426" s="19"/>
    </row>
    <row r="427">
      <c r="C427" s="18"/>
      <c r="D427" s="19"/>
    </row>
    <row r="428">
      <c r="C428" s="18"/>
      <c r="D428" s="19"/>
    </row>
    <row r="429">
      <c r="C429" s="18"/>
      <c r="D429" s="19"/>
    </row>
    <row r="430">
      <c r="C430" s="18"/>
      <c r="D430" s="19"/>
    </row>
    <row r="431">
      <c r="C431" s="18"/>
      <c r="D431" s="19"/>
    </row>
    <row r="432">
      <c r="C432" s="18"/>
      <c r="D432" s="19"/>
    </row>
    <row r="433">
      <c r="C433" s="18"/>
      <c r="D433" s="19"/>
    </row>
    <row r="434">
      <c r="C434" s="18"/>
      <c r="D434" s="19"/>
    </row>
    <row r="435">
      <c r="C435" s="18"/>
      <c r="D435" s="19"/>
    </row>
    <row r="436">
      <c r="C436" s="18"/>
      <c r="D436" s="19"/>
    </row>
    <row r="437">
      <c r="C437" s="18"/>
      <c r="D437" s="19"/>
    </row>
    <row r="438">
      <c r="C438" s="18"/>
      <c r="D438" s="19"/>
    </row>
    <row r="439">
      <c r="C439" s="18"/>
      <c r="D439" s="19"/>
    </row>
    <row r="440">
      <c r="C440" s="18"/>
      <c r="D440" s="19"/>
    </row>
    <row r="441">
      <c r="C441" s="18"/>
      <c r="D441" s="19"/>
    </row>
    <row r="442">
      <c r="C442" s="18"/>
      <c r="D442" s="19"/>
    </row>
    <row r="443">
      <c r="C443" s="18"/>
      <c r="D443" s="19"/>
    </row>
    <row r="444">
      <c r="C444" s="18"/>
      <c r="D444" s="19"/>
    </row>
    <row r="445">
      <c r="C445" s="18"/>
      <c r="D445" s="19"/>
    </row>
    <row r="446">
      <c r="C446" s="18"/>
      <c r="D446" s="19"/>
    </row>
    <row r="447">
      <c r="C447" s="18"/>
      <c r="D447" s="19"/>
    </row>
    <row r="448">
      <c r="C448" s="18"/>
      <c r="D448" s="19"/>
    </row>
    <row r="449">
      <c r="C449" s="18"/>
      <c r="D449" s="19"/>
    </row>
    <row r="450">
      <c r="C450" s="18"/>
      <c r="D450" s="19"/>
    </row>
    <row r="451">
      <c r="C451" s="18"/>
      <c r="D451" s="19"/>
    </row>
    <row r="452">
      <c r="C452" s="18"/>
      <c r="D452" s="19"/>
    </row>
    <row r="453">
      <c r="C453" s="18"/>
      <c r="D453" s="19"/>
    </row>
    <row r="454">
      <c r="C454" s="18"/>
      <c r="D454" s="19"/>
    </row>
    <row r="455">
      <c r="C455" s="18"/>
      <c r="D455" s="19"/>
    </row>
    <row r="456">
      <c r="C456" s="18"/>
      <c r="D456" s="19"/>
    </row>
    <row r="457">
      <c r="C457" s="18"/>
      <c r="D457" s="19"/>
    </row>
    <row r="458">
      <c r="C458" s="18"/>
      <c r="D458" s="19"/>
    </row>
    <row r="459">
      <c r="C459" s="18"/>
      <c r="D459" s="19"/>
    </row>
    <row r="460">
      <c r="C460" s="18"/>
      <c r="D460" s="19"/>
    </row>
    <row r="461">
      <c r="C461" s="18"/>
      <c r="D461" s="19"/>
    </row>
    <row r="462">
      <c r="C462" s="18"/>
      <c r="D462" s="19"/>
    </row>
    <row r="463">
      <c r="C463" s="18"/>
      <c r="D463" s="19"/>
    </row>
    <row r="464">
      <c r="C464" s="18"/>
      <c r="D464" s="19"/>
    </row>
    <row r="465">
      <c r="C465" s="18"/>
      <c r="D465" s="19"/>
    </row>
    <row r="466">
      <c r="C466" s="18"/>
      <c r="D466" s="19"/>
    </row>
    <row r="467">
      <c r="C467" s="18"/>
      <c r="D467" s="19"/>
    </row>
    <row r="468">
      <c r="C468" s="18"/>
      <c r="D468" s="19"/>
    </row>
    <row r="469">
      <c r="C469" s="18"/>
      <c r="D469" s="19"/>
    </row>
    <row r="470">
      <c r="C470" s="18"/>
      <c r="D470" s="19"/>
    </row>
    <row r="471">
      <c r="C471" s="18"/>
      <c r="D471" s="19"/>
    </row>
    <row r="472">
      <c r="C472" s="18"/>
      <c r="D472" s="19"/>
    </row>
    <row r="473">
      <c r="C473" s="18"/>
      <c r="D473" s="19"/>
    </row>
    <row r="474">
      <c r="C474" s="18"/>
      <c r="D474" s="19"/>
    </row>
    <row r="475">
      <c r="C475" s="18"/>
      <c r="D475" s="19"/>
    </row>
    <row r="476">
      <c r="C476" s="18"/>
      <c r="D476" s="19"/>
    </row>
    <row r="477">
      <c r="C477" s="18"/>
      <c r="D477" s="19"/>
    </row>
    <row r="478">
      <c r="C478" s="18"/>
      <c r="D478" s="19"/>
    </row>
    <row r="479">
      <c r="C479" s="18"/>
      <c r="D479" s="19"/>
    </row>
    <row r="480">
      <c r="C480" s="18"/>
      <c r="D480" s="19"/>
    </row>
    <row r="481">
      <c r="C481" s="18"/>
      <c r="D481" s="19"/>
    </row>
    <row r="482">
      <c r="C482" s="18"/>
      <c r="D482" s="19"/>
    </row>
    <row r="483">
      <c r="C483" s="18"/>
      <c r="D483" s="19"/>
    </row>
    <row r="484">
      <c r="C484" s="18"/>
      <c r="D484" s="19"/>
    </row>
    <row r="485">
      <c r="C485" s="18"/>
      <c r="D485" s="19"/>
    </row>
    <row r="486">
      <c r="C486" s="18"/>
      <c r="D486" s="19"/>
    </row>
    <row r="487">
      <c r="C487" s="18"/>
      <c r="D487" s="19"/>
    </row>
    <row r="488">
      <c r="C488" s="18"/>
      <c r="D488" s="19"/>
    </row>
    <row r="489">
      <c r="C489" s="18"/>
      <c r="D489" s="19"/>
    </row>
    <row r="490">
      <c r="C490" s="18"/>
      <c r="D490" s="19"/>
    </row>
    <row r="491">
      <c r="C491" s="18"/>
      <c r="D491" s="19"/>
    </row>
    <row r="492">
      <c r="C492" s="18"/>
      <c r="D492" s="19"/>
    </row>
    <row r="493">
      <c r="C493" s="18"/>
      <c r="D493" s="19"/>
    </row>
    <row r="494">
      <c r="C494" s="18"/>
      <c r="D494" s="19"/>
    </row>
    <row r="495">
      <c r="C495" s="18"/>
      <c r="D495" s="19"/>
    </row>
    <row r="496">
      <c r="C496" s="18"/>
      <c r="D496" s="19"/>
    </row>
    <row r="497">
      <c r="C497" s="18"/>
      <c r="D497" s="19"/>
    </row>
    <row r="498">
      <c r="C498" s="18"/>
      <c r="D498" s="19"/>
    </row>
    <row r="499">
      <c r="C499" s="18"/>
      <c r="D499" s="19"/>
    </row>
    <row r="500">
      <c r="C500" s="18"/>
      <c r="D500" s="19"/>
    </row>
    <row r="501">
      <c r="C501" s="18"/>
      <c r="D501" s="19"/>
    </row>
    <row r="502">
      <c r="C502" s="18"/>
      <c r="D502" s="19"/>
    </row>
    <row r="503">
      <c r="C503" s="18"/>
      <c r="D503" s="19"/>
    </row>
    <row r="504">
      <c r="C504" s="18"/>
      <c r="D504" s="19"/>
    </row>
    <row r="505">
      <c r="C505" s="18"/>
      <c r="D505" s="19"/>
    </row>
    <row r="506">
      <c r="C506" s="18"/>
      <c r="D506" s="19"/>
    </row>
    <row r="507">
      <c r="C507" s="18"/>
      <c r="D507" s="19"/>
    </row>
    <row r="508">
      <c r="C508" s="18"/>
      <c r="D508" s="19"/>
    </row>
    <row r="509">
      <c r="C509" s="18"/>
      <c r="D509" s="19"/>
    </row>
    <row r="510">
      <c r="C510" s="18"/>
      <c r="D510" s="19"/>
    </row>
    <row r="511">
      <c r="C511" s="18"/>
      <c r="D511" s="19"/>
    </row>
    <row r="512">
      <c r="C512" s="18"/>
      <c r="D512" s="19"/>
    </row>
    <row r="513">
      <c r="C513" s="18"/>
      <c r="D513" s="19"/>
    </row>
    <row r="514">
      <c r="C514" s="18"/>
      <c r="D514" s="19"/>
    </row>
    <row r="515">
      <c r="C515" s="18"/>
      <c r="D515" s="19"/>
    </row>
    <row r="516">
      <c r="C516" s="18"/>
      <c r="D516" s="19"/>
    </row>
    <row r="517">
      <c r="C517" s="18"/>
      <c r="D517" s="19"/>
    </row>
    <row r="518">
      <c r="C518" s="18"/>
      <c r="D518" s="19"/>
    </row>
    <row r="519">
      <c r="C519" s="18"/>
      <c r="D519" s="19"/>
    </row>
    <row r="520">
      <c r="C520" s="18"/>
      <c r="D520" s="19"/>
    </row>
    <row r="521">
      <c r="C521" s="18"/>
      <c r="D521" s="19"/>
    </row>
    <row r="522">
      <c r="C522" s="18"/>
      <c r="D522" s="19"/>
    </row>
    <row r="523">
      <c r="C523" s="18"/>
      <c r="D523" s="19"/>
    </row>
    <row r="524">
      <c r="C524" s="18"/>
      <c r="D524" s="19"/>
    </row>
    <row r="525">
      <c r="C525" s="18"/>
      <c r="D525" s="19"/>
    </row>
    <row r="526">
      <c r="C526" s="18"/>
      <c r="D526" s="19"/>
    </row>
    <row r="527">
      <c r="C527" s="18"/>
      <c r="D527" s="19"/>
    </row>
    <row r="528">
      <c r="C528" s="18"/>
      <c r="D528" s="19"/>
    </row>
    <row r="529">
      <c r="C529" s="18"/>
      <c r="D529" s="19"/>
    </row>
    <row r="530">
      <c r="C530" s="18"/>
      <c r="D530" s="19"/>
    </row>
    <row r="531">
      <c r="C531" s="18"/>
      <c r="D531" s="19"/>
    </row>
    <row r="532">
      <c r="C532" s="18"/>
      <c r="D532" s="19"/>
    </row>
    <row r="533">
      <c r="C533" s="18"/>
      <c r="D533" s="19"/>
    </row>
    <row r="534">
      <c r="C534" s="18"/>
      <c r="D534" s="19"/>
    </row>
    <row r="535">
      <c r="C535" s="18"/>
      <c r="D535" s="19"/>
    </row>
    <row r="536">
      <c r="C536" s="18"/>
      <c r="D536" s="19"/>
    </row>
    <row r="537">
      <c r="C537" s="18"/>
      <c r="D537" s="19"/>
    </row>
    <row r="538">
      <c r="C538" s="18"/>
      <c r="D538" s="19"/>
    </row>
    <row r="539">
      <c r="C539" s="18"/>
      <c r="D539" s="19"/>
    </row>
    <row r="540">
      <c r="C540" s="18"/>
      <c r="D540" s="19"/>
    </row>
    <row r="541">
      <c r="C541" s="18"/>
      <c r="D541" s="19"/>
    </row>
    <row r="542">
      <c r="C542" s="18"/>
      <c r="D542" s="19"/>
    </row>
    <row r="543">
      <c r="C543" s="18"/>
      <c r="D543" s="19"/>
    </row>
    <row r="544">
      <c r="C544" s="18"/>
      <c r="D544" s="19"/>
    </row>
    <row r="545">
      <c r="C545" s="18"/>
      <c r="D545" s="19"/>
    </row>
    <row r="546">
      <c r="C546" s="18"/>
      <c r="D546" s="19"/>
    </row>
    <row r="547">
      <c r="C547" s="18"/>
      <c r="D547" s="19"/>
    </row>
    <row r="548">
      <c r="C548" s="18"/>
      <c r="D548" s="19"/>
    </row>
    <row r="549">
      <c r="C549" s="18"/>
      <c r="D549" s="19"/>
    </row>
    <row r="550">
      <c r="C550" s="18"/>
      <c r="D550" s="19"/>
    </row>
    <row r="551">
      <c r="C551" s="18"/>
      <c r="D551" s="19"/>
    </row>
    <row r="552">
      <c r="C552" s="18"/>
      <c r="D552" s="19"/>
    </row>
    <row r="553">
      <c r="C553" s="18"/>
      <c r="D553" s="19"/>
    </row>
    <row r="554">
      <c r="C554" s="18"/>
      <c r="D554" s="19"/>
    </row>
    <row r="555">
      <c r="C555" s="18"/>
      <c r="D555" s="19"/>
    </row>
    <row r="556">
      <c r="C556" s="18"/>
      <c r="D556" s="19"/>
    </row>
    <row r="557">
      <c r="C557" s="18"/>
      <c r="D557" s="19"/>
    </row>
    <row r="558">
      <c r="C558" s="18"/>
      <c r="D558" s="19"/>
    </row>
    <row r="559">
      <c r="C559" s="18"/>
      <c r="D559" s="19"/>
    </row>
    <row r="560">
      <c r="C560" s="18"/>
      <c r="D560" s="19"/>
    </row>
    <row r="561">
      <c r="C561" s="18"/>
      <c r="D561" s="19"/>
    </row>
    <row r="562">
      <c r="C562" s="18"/>
      <c r="D562" s="19"/>
    </row>
    <row r="563">
      <c r="C563" s="18"/>
      <c r="D563" s="19"/>
    </row>
    <row r="564">
      <c r="C564" s="18"/>
      <c r="D564" s="19"/>
    </row>
    <row r="565">
      <c r="C565" s="18"/>
      <c r="D565" s="19"/>
    </row>
    <row r="566">
      <c r="C566" s="18"/>
      <c r="D566" s="19"/>
    </row>
    <row r="567">
      <c r="C567" s="18"/>
      <c r="D567" s="19"/>
    </row>
    <row r="568">
      <c r="C568" s="18"/>
      <c r="D568" s="19"/>
    </row>
    <row r="569">
      <c r="C569" s="18"/>
      <c r="D569" s="19"/>
    </row>
    <row r="570">
      <c r="C570" s="18"/>
      <c r="D570" s="19"/>
    </row>
    <row r="571">
      <c r="C571" s="18"/>
      <c r="D571" s="19"/>
    </row>
    <row r="572">
      <c r="C572" s="18"/>
      <c r="D572" s="19"/>
    </row>
    <row r="573">
      <c r="C573" s="18"/>
      <c r="D573" s="19"/>
    </row>
    <row r="574">
      <c r="C574" s="18"/>
      <c r="D574" s="19"/>
    </row>
    <row r="575">
      <c r="C575" s="18"/>
      <c r="D575" s="19"/>
    </row>
    <row r="576">
      <c r="C576" s="18"/>
      <c r="D576" s="19"/>
    </row>
    <row r="577">
      <c r="C577" s="18"/>
      <c r="D577" s="19"/>
    </row>
    <row r="578">
      <c r="C578" s="18"/>
      <c r="D578" s="19"/>
    </row>
    <row r="579">
      <c r="C579" s="18"/>
      <c r="D579" s="19"/>
    </row>
    <row r="580">
      <c r="C580" s="18"/>
      <c r="D580" s="19"/>
    </row>
    <row r="581">
      <c r="C581" s="18"/>
      <c r="D581" s="19"/>
    </row>
    <row r="582">
      <c r="C582" s="18"/>
      <c r="D582" s="19"/>
    </row>
    <row r="583">
      <c r="C583" s="18"/>
      <c r="D583" s="19"/>
    </row>
    <row r="584">
      <c r="C584" s="18"/>
      <c r="D584" s="19"/>
    </row>
    <row r="585">
      <c r="C585" s="18"/>
      <c r="D585" s="19"/>
    </row>
    <row r="586">
      <c r="C586" s="18"/>
      <c r="D586" s="19"/>
    </row>
    <row r="587">
      <c r="C587" s="18"/>
      <c r="D587" s="19"/>
    </row>
    <row r="588">
      <c r="C588" s="18"/>
      <c r="D588" s="19"/>
    </row>
    <row r="589">
      <c r="C589" s="18"/>
      <c r="D589" s="19"/>
    </row>
    <row r="590">
      <c r="C590" s="18"/>
      <c r="D590" s="19"/>
    </row>
    <row r="591">
      <c r="C591" s="18"/>
      <c r="D591" s="19"/>
    </row>
    <row r="592">
      <c r="C592" s="18"/>
      <c r="D592" s="19"/>
    </row>
    <row r="593">
      <c r="C593" s="18"/>
      <c r="D593" s="19"/>
    </row>
    <row r="594">
      <c r="C594" s="18"/>
      <c r="D594" s="19"/>
    </row>
    <row r="595">
      <c r="C595" s="18"/>
      <c r="D595" s="19"/>
    </row>
    <row r="596">
      <c r="C596" s="18"/>
      <c r="D596" s="19"/>
    </row>
    <row r="597">
      <c r="C597" s="18"/>
      <c r="D597" s="19"/>
    </row>
    <row r="598">
      <c r="C598" s="18"/>
      <c r="D598" s="19"/>
    </row>
    <row r="599">
      <c r="C599" s="18"/>
      <c r="D599" s="19"/>
    </row>
    <row r="600">
      <c r="C600" s="18"/>
      <c r="D600" s="19"/>
    </row>
    <row r="601">
      <c r="C601" s="18"/>
      <c r="D601" s="19"/>
    </row>
    <row r="602">
      <c r="C602" s="18"/>
      <c r="D602" s="19"/>
    </row>
    <row r="603">
      <c r="C603" s="18"/>
      <c r="D603" s="19"/>
    </row>
    <row r="604">
      <c r="C604" s="18"/>
      <c r="D604" s="19"/>
    </row>
    <row r="605">
      <c r="C605" s="18"/>
      <c r="D605" s="19"/>
    </row>
    <row r="606">
      <c r="C606" s="18"/>
      <c r="D606" s="19"/>
    </row>
    <row r="607">
      <c r="C607" s="18"/>
      <c r="D607" s="19"/>
    </row>
    <row r="608">
      <c r="C608" s="18"/>
      <c r="D608" s="19"/>
    </row>
    <row r="609">
      <c r="C609" s="18"/>
      <c r="D609" s="19"/>
    </row>
    <row r="610">
      <c r="C610" s="18"/>
      <c r="D610" s="19"/>
    </row>
    <row r="611">
      <c r="C611" s="18"/>
      <c r="D611" s="19"/>
    </row>
    <row r="612">
      <c r="C612" s="18"/>
      <c r="D612" s="19"/>
    </row>
    <row r="613">
      <c r="C613" s="18"/>
      <c r="D613" s="19"/>
    </row>
    <row r="614">
      <c r="C614" s="18"/>
      <c r="D614" s="19"/>
    </row>
    <row r="615">
      <c r="C615" s="18"/>
      <c r="D615" s="19"/>
    </row>
    <row r="616">
      <c r="C616" s="18"/>
      <c r="D616" s="19"/>
    </row>
    <row r="617">
      <c r="C617" s="18"/>
      <c r="D617" s="19"/>
    </row>
    <row r="618">
      <c r="C618" s="18"/>
      <c r="D618" s="19"/>
    </row>
    <row r="619">
      <c r="C619" s="18"/>
      <c r="D619" s="19"/>
    </row>
    <row r="620">
      <c r="C620" s="18"/>
      <c r="D620" s="19"/>
    </row>
    <row r="621">
      <c r="C621" s="18"/>
      <c r="D621" s="19"/>
    </row>
    <row r="622">
      <c r="C622" s="18"/>
      <c r="D622" s="19"/>
    </row>
    <row r="623">
      <c r="C623" s="18"/>
      <c r="D623" s="19"/>
    </row>
    <row r="624">
      <c r="C624" s="18"/>
      <c r="D624" s="19"/>
    </row>
    <row r="625">
      <c r="C625" s="18"/>
      <c r="D625" s="19"/>
    </row>
    <row r="626">
      <c r="C626" s="18"/>
      <c r="D626" s="19"/>
    </row>
    <row r="627">
      <c r="C627" s="18"/>
      <c r="D627" s="19"/>
    </row>
    <row r="628">
      <c r="C628" s="18"/>
      <c r="D628" s="19"/>
    </row>
    <row r="629">
      <c r="C629" s="18"/>
      <c r="D629" s="19"/>
    </row>
    <row r="630">
      <c r="C630" s="18"/>
      <c r="D630" s="19"/>
    </row>
    <row r="631">
      <c r="C631" s="18"/>
      <c r="D631" s="19"/>
    </row>
    <row r="632">
      <c r="C632" s="18"/>
      <c r="D632" s="19"/>
    </row>
    <row r="633">
      <c r="C633" s="18"/>
      <c r="D633" s="19"/>
    </row>
    <row r="634">
      <c r="C634" s="18"/>
      <c r="D634" s="19"/>
    </row>
    <row r="635">
      <c r="C635" s="18"/>
      <c r="D635" s="19"/>
    </row>
    <row r="636">
      <c r="C636" s="18"/>
      <c r="D636" s="19"/>
    </row>
    <row r="637">
      <c r="C637" s="18"/>
      <c r="D637" s="19"/>
    </row>
    <row r="638">
      <c r="C638" s="18"/>
      <c r="D638" s="19"/>
    </row>
    <row r="639">
      <c r="C639" s="18"/>
      <c r="D639" s="19"/>
    </row>
    <row r="640">
      <c r="C640" s="18"/>
      <c r="D640" s="19"/>
    </row>
    <row r="641">
      <c r="C641" s="18"/>
      <c r="D641" s="19"/>
    </row>
    <row r="642">
      <c r="C642" s="18"/>
      <c r="D642" s="19"/>
    </row>
    <row r="643">
      <c r="C643" s="18"/>
      <c r="D643" s="19"/>
    </row>
    <row r="644">
      <c r="C644" s="18"/>
      <c r="D644" s="19"/>
    </row>
    <row r="645">
      <c r="C645" s="18"/>
      <c r="D645" s="19"/>
    </row>
    <row r="646">
      <c r="C646" s="18"/>
      <c r="D646" s="19"/>
    </row>
    <row r="647">
      <c r="C647" s="18"/>
      <c r="D647" s="19"/>
    </row>
    <row r="648">
      <c r="C648" s="18"/>
      <c r="D648" s="19"/>
    </row>
    <row r="649">
      <c r="C649" s="18"/>
      <c r="D649" s="19"/>
    </row>
    <row r="650">
      <c r="C650" s="18"/>
      <c r="D650" s="19"/>
    </row>
    <row r="651">
      <c r="C651" s="18"/>
      <c r="D651" s="19"/>
    </row>
    <row r="652">
      <c r="C652" s="18"/>
      <c r="D652" s="19"/>
    </row>
    <row r="653">
      <c r="C653" s="18"/>
      <c r="D653" s="19"/>
    </row>
    <row r="654">
      <c r="C654" s="18"/>
      <c r="D654" s="19"/>
    </row>
    <row r="655">
      <c r="C655" s="18"/>
      <c r="D655" s="19"/>
    </row>
    <row r="656">
      <c r="C656" s="18"/>
      <c r="D656" s="19"/>
    </row>
    <row r="657">
      <c r="C657" s="18"/>
      <c r="D657" s="19"/>
    </row>
    <row r="658">
      <c r="C658" s="18"/>
      <c r="D658" s="19"/>
    </row>
    <row r="659">
      <c r="C659" s="18"/>
      <c r="D659" s="19"/>
    </row>
    <row r="660">
      <c r="C660" s="18"/>
      <c r="D660" s="19"/>
    </row>
    <row r="661">
      <c r="C661" s="18"/>
      <c r="D661" s="19"/>
    </row>
    <row r="662">
      <c r="C662" s="18"/>
      <c r="D662" s="19"/>
    </row>
    <row r="663">
      <c r="C663" s="18"/>
      <c r="D663" s="19"/>
    </row>
    <row r="664">
      <c r="C664" s="18"/>
      <c r="D664" s="19"/>
    </row>
    <row r="665">
      <c r="C665" s="18"/>
      <c r="D665" s="19"/>
    </row>
    <row r="666">
      <c r="C666" s="18"/>
      <c r="D666" s="19"/>
    </row>
    <row r="667">
      <c r="C667" s="18"/>
      <c r="D667" s="19"/>
    </row>
    <row r="668">
      <c r="C668" s="18"/>
      <c r="D668" s="19"/>
    </row>
    <row r="669">
      <c r="C669" s="18"/>
      <c r="D669" s="19"/>
    </row>
    <row r="670">
      <c r="C670" s="18"/>
      <c r="D670" s="19"/>
    </row>
    <row r="671">
      <c r="C671" s="18"/>
      <c r="D671" s="19"/>
    </row>
    <row r="672">
      <c r="C672" s="18"/>
      <c r="D672" s="19"/>
    </row>
    <row r="673">
      <c r="C673" s="18"/>
      <c r="D673" s="19"/>
    </row>
    <row r="674">
      <c r="C674" s="18"/>
      <c r="D674" s="19"/>
    </row>
    <row r="675">
      <c r="C675" s="18"/>
      <c r="D675" s="19"/>
    </row>
    <row r="676">
      <c r="C676" s="18"/>
      <c r="D676" s="19"/>
    </row>
    <row r="677">
      <c r="C677" s="18"/>
      <c r="D677" s="19"/>
    </row>
    <row r="678">
      <c r="C678" s="18"/>
      <c r="D678" s="19"/>
    </row>
    <row r="679">
      <c r="C679" s="18"/>
      <c r="D679" s="19"/>
    </row>
    <row r="680">
      <c r="C680" s="18"/>
      <c r="D680" s="19"/>
    </row>
    <row r="681">
      <c r="C681" s="18"/>
      <c r="D681" s="19"/>
    </row>
    <row r="682">
      <c r="C682" s="18"/>
      <c r="D682" s="19"/>
    </row>
    <row r="683">
      <c r="C683" s="18"/>
      <c r="D683" s="19"/>
    </row>
    <row r="684">
      <c r="C684" s="18"/>
      <c r="D684" s="19"/>
    </row>
    <row r="685">
      <c r="C685" s="18"/>
      <c r="D685" s="19"/>
    </row>
    <row r="686">
      <c r="C686" s="18"/>
      <c r="D686" s="19"/>
    </row>
    <row r="687">
      <c r="C687" s="18"/>
      <c r="D687" s="19"/>
    </row>
    <row r="688">
      <c r="C688" s="18"/>
      <c r="D688" s="19"/>
    </row>
    <row r="689">
      <c r="C689" s="18"/>
      <c r="D689" s="19"/>
    </row>
    <row r="690">
      <c r="C690" s="18"/>
      <c r="D690" s="19"/>
    </row>
    <row r="691">
      <c r="C691" s="18"/>
      <c r="D691" s="19"/>
    </row>
    <row r="692">
      <c r="C692" s="18"/>
      <c r="D692" s="19"/>
    </row>
    <row r="693">
      <c r="C693" s="18"/>
      <c r="D693" s="19"/>
    </row>
    <row r="694">
      <c r="C694" s="18"/>
      <c r="D694" s="19"/>
    </row>
    <row r="695">
      <c r="C695" s="18"/>
      <c r="D695" s="19"/>
    </row>
    <row r="696">
      <c r="C696" s="18"/>
      <c r="D696" s="19"/>
    </row>
    <row r="697">
      <c r="C697" s="18"/>
      <c r="D697" s="19"/>
    </row>
    <row r="698">
      <c r="C698" s="18"/>
      <c r="D698" s="19"/>
    </row>
    <row r="699">
      <c r="C699" s="18"/>
      <c r="D699" s="19"/>
    </row>
    <row r="700">
      <c r="C700" s="18"/>
      <c r="D700" s="19"/>
    </row>
    <row r="701">
      <c r="C701" s="18"/>
      <c r="D701" s="19"/>
    </row>
    <row r="702">
      <c r="C702" s="18"/>
      <c r="D702" s="19"/>
    </row>
    <row r="703">
      <c r="C703" s="18"/>
      <c r="D703" s="19"/>
    </row>
    <row r="704">
      <c r="C704" s="18"/>
      <c r="D704" s="19"/>
    </row>
    <row r="705">
      <c r="C705" s="18"/>
      <c r="D705" s="19"/>
    </row>
    <row r="706">
      <c r="C706" s="18"/>
      <c r="D706" s="19"/>
    </row>
    <row r="707">
      <c r="C707" s="18"/>
      <c r="D707" s="19"/>
    </row>
    <row r="708">
      <c r="C708" s="18"/>
      <c r="D708" s="19"/>
    </row>
    <row r="709">
      <c r="C709" s="18"/>
      <c r="D709" s="19"/>
    </row>
    <row r="710">
      <c r="C710" s="18"/>
      <c r="D710" s="19"/>
    </row>
    <row r="711">
      <c r="C711" s="18"/>
      <c r="D711" s="19"/>
    </row>
    <row r="712">
      <c r="C712" s="18"/>
      <c r="D712" s="19"/>
    </row>
    <row r="713">
      <c r="C713" s="18"/>
      <c r="D713" s="19"/>
    </row>
    <row r="714">
      <c r="C714" s="18"/>
      <c r="D714" s="19"/>
    </row>
    <row r="715">
      <c r="C715" s="18"/>
      <c r="D715" s="19"/>
    </row>
    <row r="716">
      <c r="C716" s="18"/>
      <c r="D716" s="19"/>
    </row>
    <row r="717">
      <c r="C717" s="18"/>
      <c r="D717" s="19"/>
    </row>
    <row r="718">
      <c r="C718" s="18"/>
      <c r="D718" s="19"/>
    </row>
    <row r="719">
      <c r="C719" s="18"/>
      <c r="D719" s="19"/>
    </row>
    <row r="720">
      <c r="C720" s="18"/>
      <c r="D720" s="19"/>
    </row>
    <row r="721">
      <c r="C721" s="18"/>
      <c r="D721" s="19"/>
    </row>
    <row r="722">
      <c r="C722" s="18"/>
      <c r="D722" s="19"/>
    </row>
    <row r="723">
      <c r="C723" s="18"/>
      <c r="D723" s="19"/>
    </row>
    <row r="724">
      <c r="C724" s="18"/>
      <c r="D724" s="19"/>
    </row>
    <row r="725">
      <c r="C725" s="18"/>
      <c r="D725" s="19"/>
    </row>
    <row r="726">
      <c r="C726" s="18"/>
      <c r="D726" s="19"/>
    </row>
    <row r="727">
      <c r="C727" s="18"/>
      <c r="D727" s="19"/>
    </row>
    <row r="728">
      <c r="C728" s="18"/>
      <c r="D728" s="19"/>
    </row>
    <row r="729">
      <c r="C729" s="18"/>
      <c r="D729" s="19"/>
    </row>
    <row r="730">
      <c r="C730" s="18"/>
      <c r="D730" s="19"/>
    </row>
    <row r="731">
      <c r="C731" s="18"/>
      <c r="D731" s="19"/>
    </row>
    <row r="732">
      <c r="C732" s="18"/>
      <c r="D732" s="19"/>
    </row>
    <row r="733">
      <c r="C733" s="18"/>
      <c r="D733" s="19"/>
    </row>
    <row r="734">
      <c r="C734" s="18"/>
      <c r="D734" s="19"/>
    </row>
    <row r="735">
      <c r="C735" s="18"/>
      <c r="D735" s="19"/>
    </row>
    <row r="736">
      <c r="C736" s="18"/>
      <c r="D736" s="19"/>
    </row>
    <row r="737">
      <c r="C737" s="18"/>
      <c r="D737" s="19"/>
    </row>
    <row r="738">
      <c r="C738" s="18"/>
      <c r="D738" s="19"/>
    </row>
    <row r="739">
      <c r="C739" s="18"/>
      <c r="D739" s="19"/>
    </row>
    <row r="740">
      <c r="C740" s="18"/>
      <c r="D740" s="19"/>
    </row>
    <row r="741">
      <c r="C741" s="18"/>
      <c r="D741" s="19"/>
    </row>
    <row r="742">
      <c r="C742" s="18"/>
      <c r="D742" s="19"/>
    </row>
    <row r="743">
      <c r="C743" s="18"/>
      <c r="D743" s="19"/>
    </row>
    <row r="744">
      <c r="C744" s="18"/>
      <c r="D744" s="19"/>
    </row>
    <row r="745">
      <c r="C745" s="18"/>
      <c r="D745" s="19"/>
    </row>
    <row r="746">
      <c r="C746" s="18"/>
      <c r="D746" s="19"/>
    </row>
    <row r="747">
      <c r="C747" s="18"/>
      <c r="D747" s="19"/>
    </row>
    <row r="748">
      <c r="C748" s="18"/>
      <c r="D748" s="19"/>
    </row>
    <row r="749">
      <c r="C749" s="18"/>
      <c r="D749" s="19"/>
    </row>
    <row r="750">
      <c r="C750" s="18"/>
      <c r="D750" s="19"/>
    </row>
    <row r="751">
      <c r="C751" s="18"/>
      <c r="D751" s="19"/>
    </row>
    <row r="752">
      <c r="C752" s="18"/>
      <c r="D752" s="19"/>
    </row>
    <row r="753">
      <c r="C753" s="18"/>
      <c r="D753" s="19"/>
    </row>
    <row r="754">
      <c r="C754" s="18"/>
      <c r="D754" s="19"/>
    </row>
    <row r="755">
      <c r="C755" s="18"/>
      <c r="D755" s="19"/>
    </row>
    <row r="756">
      <c r="C756" s="18"/>
      <c r="D756" s="19"/>
    </row>
    <row r="757">
      <c r="C757" s="18"/>
      <c r="D757" s="19"/>
    </row>
    <row r="758">
      <c r="C758" s="18"/>
      <c r="D758" s="19"/>
    </row>
    <row r="759">
      <c r="C759" s="18"/>
      <c r="D759" s="19"/>
    </row>
    <row r="760">
      <c r="C760" s="18"/>
      <c r="D760" s="19"/>
    </row>
    <row r="761">
      <c r="C761" s="18"/>
      <c r="D761" s="19"/>
    </row>
    <row r="762">
      <c r="C762" s="18"/>
      <c r="D762" s="19"/>
    </row>
    <row r="763">
      <c r="C763" s="18"/>
      <c r="D763" s="19"/>
    </row>
    <row r="764">
      <c r="C764" s="18"/>
      <c r="D764" s="19"/>
    </row>
    <row r="765">
      <c r="C765" s="18"/>
      <c r="D765" s="19"/>
    </row>
    <row r="766">
      <c r="C766" s="18"/>
      <c r="D766" s="19"/>
    </row>
    <row r="767">
      <c r="C767" s="18"/>
      <c r="D767" s="19"/>
    </row>
    <row r="768">
      <c r="C768" s="18"/>
      <c r="D768" s="19"/>
    </row>
    <row r="769">
      <c r="C769" s="18"/>
      <c r="D769" s="19"/>
    </row>
    <row r="770">
      <c r="C770" s="18"/>
      <c r="D770" s="19"/>
    </row>
    <row r="771">
      <c r="C771" s="18"/>
      <c r="D771" s="19"/>
    </row>
    <row r="772">
      <c r="C772" s="18"/>
      <c r="D772" s="19"/>
    </row>
    <row r="773">
      <c r="C773" s="18"/>
      <c r="D773" s="19"/>
    </row>
    <row r="774">
      <c r="C774" s="18"/>
      <c r="D774" s="19"/>
    </row>
    <row r="775">
      <c r="C775" s="18"/>
      <c r="D775" s="19"/>
    </row>
    <row r="776">
      <c r="C776" s="18"/>
      <c r="D776" s="19"/>
    </row>
    <row r="777">
      <c r="C777" s="18"/>
      <c r="D777" s="19"/>
    </row>
    <row r="778">
      <c r="C778" s="18"/>
      <c r="D778" s="19"/>
    </row>
    <row r="779">
      <c r="C779" s="18"/>
      <c r="D779" s="19"/>
    </row>
    <row r="780">
      <c r="C780" s="18"/>
      <c r="D780" s="19"/>
    </row>
    <row r="781">
      <c r="C781" s="18"/>
      <c r="D781" s="19"/>
    </row>
    <row r="782">
      <c r="C782" s="18"/>
      <c r="D782" s="19"/>
    </row>
    <row r="783">
      <c r="C783" s="18"/>
      <c r="D783" s="19"/>
    </row>
    <row r="784">
      <c r="C784" s="18"/>
      <c r="D784" s="19"/>
    </row>
    <row r="785">
      <c r="C785" s="18"/>
      <c r="D785" s="19"/>
    </row>
    <row r="786">
      <c r="C786" s="18"/>
      <c r="D786" s="19"/>
    </row>
    <row r="787">
      <c r="C787" s="18"/>
      <c r="D787" s="19"/>
    </row>
    <row r="788">
      <c r="C788" s="18"/>
      <c r="D788" s="19"/>
    </row>
    <row r="789">
      <c r="C789" s="18"/>
      <c r="D789" s="19"/>
    </row>
    <row r="790">
      <c r="C790" s="18"/>
      <c r="D790" s="19"/>
    </row>
    <row r="791">
      <c r="C791" s="18"/>
      <c r="D791" s="19"/>
    </row>
    <row r="792">
      <c r="C792" s="18"/>
      <c r="D792" s="19"/>
    </row>
    <row r="793">
      <c r="C793" s="18"/>
      <c r="D793" s="19"/>
    </row>
    <row r="794">
      <c r="C794" s="18"/>
      <c r="D794" s="19"/>
    </row>
    <row r="795">
      <c r="C795" s="18"/>
      <c r="D795" s="19"/>
    </row>
    <row r="796">
      <c r="C796" s="18"/>
      <c r="D796" s="19"/>
    </row>
    <row r="797">
      <c r="C797" s="18"/>
      <c r="D797" s="19"/>
    </row>
    <row r="798">
      <c r="C798" s="18"/>
      <c r="D798" s="19"/>
    </row>
    <row r="799">
      <c r="C799" s="18"/>
      <c r="D799" s="19"/>
    </row>
    <row r="800">
      <c r="C800" s="18"/>
      <c r="D800" s="19"/>
    </row>
    <row r="801">
      <c r="C801" s="18"/>
      <c r="D801" s="19"/>
    </row>
    <row r="802">
      <c r="C802" s="18"/>
      <c r="D802" s="19"/>
    </row>
    <row r="803">
      <c r="C803" s="18"/>
      <c r="D803" s="19"/>
    </row>
    <row r="804">
      <c r="C804" s="18"/>
      <c r="D804" s="19"/>
    </row>
    <row r="805">
      <c r="C805" s="18"/>
      <c r="D805" s="19"/>
    </row>
    <row r="806">
      <c r="C806" s="18"/>
      <c r="D806" s="19"/>
    </row>
    <row r="807">
      <c r="C807" s="18"/>
      <c r="D807" s="19"/>
    </row>
    <row r="808">
      <c r="C808" s="18"/>
      <c r="D808" s="19"/>
    </row>
    <row r="809">
      <c r="C809" s="18"/>
      <c r="D809" s="19"/>
    </row>
    <row r="810">
      <c r="C810" s="18"/>
      <c r="D810" s="19"/>
    </row>
    <row r="811">
      <c r="C811" s="18"/>
      <c r="D811" s="19"/>
    </row>
    <row r="812">
      <c r="C812" s="18"/>
      <c r="D812" s="19"/>
    </row>
    <row r="813">
      <c r="C813" s="18"/>
      <c r="D813" s="19"/>
    </row>
    <row r="814">
      <c r="C814" s="18"/>
      <c r="D814" s="19"/>
    </row>
    <row r="815">
      <c r="C815" s="18"/>
      <c r="D815" s="19"/>
    </row>
    <row r="816">
      <c r="C816" s="18"/>
      <c r="D816" s="19"/>
    </row>
    <row r="817">
      <c r="C817" s="18"/>
      <c r="D817" s="19"/>
    </row>
    <row r="818">
      <c r="C818" s="18"/>
      <c r="D818" s="19"/>
    </row>
    <row r="819">
      <c r="C819" s="18"/>
      <c r="D819" s="19"/>
    </row>
    <row r="820">
      <c r="C820" s="18"/>
      <c r="D820" s="19"/>
    </row>
    <row r="821">
      <c r="C821" s="18"/>
      <c r="D821" s="19"/>
    </row>
    <row r="822">
      <c r="C822" s="18"/>
      <c r="D822" s="19"/>
    </row>
    <row r="823">
      <c r="C823" s="18"/>
      <c r="D823" s="19"/>
    </row>
    <row r="824">
      <c r="C824" s="18"/>
      <c r="D824" s="19"/>
    </row>
    <row r="825">
      <c r="C825" s="18"/>
      <c r="D825" s="19"/>
    </row>
    <row r="826">
      <c r="C826" s="18"/>
      <c r="D826" s="19"/>
    </row>
    <row r="827">
      <c r="C827" s="18"/>
      <c r="D827" s="19"/>
    </row>
    <row r="828">
      <c r="C828" s="18"/>
      <c r="D828" s="19"/>
    </row>
    <row r="829">
      <c r="C829" s="18"/>
      <c r="D829" s="19"/>
    </row>
    <row r="830">
      <c r="C830" s="18"/>
      <c r="D830" s="19"/>
    </row>
    <row r="831">
      <c r="C831" s="18"/>
      <c r="D831" s="19"/>
    </row>
    <row r="832">
      <c r="C832" s="18"/>
      <c r="D832" s="19"/>
    </row>
    <row r="833">
      <c r="C833" s="18"/>
      <c r="D833" s="19"/>
    </row>
    <row r="834">
      <c r="C834" s="18"/>
      <c r="D834" s="19"/>
    </row>
    <row r="835">
      <c r="C835" s="18"/>
      <c r="D835" s="19"/>
    </row>
    <row r="836">
      <c r="C836" s="18"/>
      <c r="D836" s="19"/>
    </row>
    <row r="837">
      <c r="C837" s="18"/>
      <c r="D837" s="19"/>
    </row>
    <row r="838">
      <c r="C838" s="18"/>
      <c r="D838" s="19"/>
    </row>
    <row r="839">
      <c r="C839" s="18"/>
      <c r="D839" s="19"/>
    </row>
    <row r="840">
      <c r="C840" s="18"/>
      <c r="D840" s="19"/>
    </row>
    <row r="841">
      <c r="C841" s="18"/>
      <c r="D841" s="19"/>
    </row>
    <row r="842">
      <c r="C842" s="18"/>
      <c r="D842" s="19"/>
    </row>
    <row r="843">
      <c r="C843" s="18"/>
      <c r="D843" s="19"/>
    </row>
    <row r="844">
      <c r="C844" s="18"/>
      <c r="D844" s="19"/>
    </row>
    <row r="845">
      <c r="C845" s="18"/>
      <c r="D845" s="19"/>
    </row>
    <row r="846">
      <c r="C846" s="18"/>
      <c r="D846" s="19"/>
    </row>
    <row r="847">
      <c r="C847" s="18"/>
      <c r="D847" s="19"/>
    </row>
    <row r="848">
      <c r="C848" s="18"/>
      <c r="D848" s="19"/>
    </row>
    <row r="849">
      <c r="C849" s="18"/>
      <c r="D849" s="19"/>
    </row>
    <row r="850">
      <c r="C850" s="18"/>
      <c r="D850" s="19"/>
    </row>
    <row r="851">
      <c r="C851" s="18"/>
      <c r="D851" s="19"/>
    </row>
    <row r="852">
      <c r="C852" s="18"/>
      <c r="D852" s="19"/>
    </row>
    <row r="853">
      <c r="C853" s="18"/>
      <c r="D853" s="19"/>
    </row>
    <row r="854">
      <c r="C854" s="18"/>
      <c r="D854" s="19"/>
    </row>
    <row r="855">
      <c r="C855" s="18"/>
      <c r="D855" s="19"/>
    </row>
    <row r="856">
      <c r="C856" s="18"/>
      <c r="D856" s="19"/>
    </row>
    <row r="857">
      <c r="C857" s="18"/>
      <c r="D857" s="19"/>
    </row>
    <row r="858">
      <c r="C858" s="18"/>
      <c r="D858" s="19"/>
    </row>
    <row r="859">
      <c r="C859" s="18"/>
      <c r="D859" s="19"/>
    </row>
    <row r="860">
      <c r="C860" s="18"/>
      <c r="D860" s="19"/>
    </row>
    <row r="861">
      <c r="C861" s="18"/>
      <c r="D861" s="19"/>
    </row>
    <row r="862">
      <c r="C862" s="18"/>
      <c r="D862" s="19"/>
    </row>
    <row r="863">
      <c r="C863" s="18"/>
      <c r="D863" s="19"/>
    </row>
    <row r="864">
      <c r="C864" s="18"/>
      <c r="D864" s="19"/>
    </row>
    <row r="865">
      <c r="C865" s="18"/>
      <c r="D865" s="19"/>
    </row>
    <row r="866">
      <c r="C866" s="18"/>
      <c r="D866" s="19"/>
    </row>
    <row r="867">
      <c r="C867" s="18"/>
      <c r="D867" s="19"/>
    </row>
    <row r="868">
      <c r="C868" s="18"/>
      <c r="D868" s="19"/>
    </row>
    <row r="869">
      <c r="C869" s="18"/>
      <c r="D869" s="19"/>
    </row>
    <row r="870">
      <c r="C870" s="18"/>
      <c r="D870" s="19"/>
    </row>
    <row r="871">
      <c r="C871" s="18"/>
      <c r="D871" s="19"/>
    </row>
    <row r="872">
      <c r="C872" s="18"/>
      <c r="D872" s="19"/>
    </row>
    <row r="873">
      <c r="C873" s="18"/>
      <c r="D873" s="19"/>
    </row>
    <row r="874">
      <c r="C874" s="18"/>
      <c r="D874" s="19"/>
    </row>
    <row r="875">
      <c r="C875" s="18"/>
      <c r="D875" s="19"/>
    </row>
    <row r="876">
      <c r="C876" s="18"/>
      <c r="D876" s="19"/>
    </row>
    <row r="877">
      <c r="C877" s="18"/>
      <c r="D877" s="19"/>
    </row>
    <row r="878">
      <c r="C878" s="18"/>
      <c r="D878" s="19"/>
    </row>
    <row r="879">
      <c r="C879" s="18"/>
      <c r="D879" s="19"/>
    </row>
    <row r="880">
      <c r="C880" s="18"/>
      <c r="D880" s="19"/>
    </row>
    <row r="881">
      <c r="C881" s="18"/>
      <c r="D881" s="19"/>
    </row>
    <row r="882">
      <c r="C882" s="18"/>
      <c r="D882" s="19"/>
    </row>
    <row r="883">
      <c r="C883" s="18"/>
      <c r="D883" s="19"/>
    </row>
    <row r="884">
      <c r="C884" s="18"/>
      <c r="D884" s="19"/>
    </row>
    <row r="885">
      <c r="C885" s="18"/>
      <c r="D885" s="19"/>
    </row>
    <row r="886">
      <c r="C886" s="18"/>
      <c r="D886" s="19"/>
    </row>
    <row r="887">
      <c r="C887" s="18"/>
      <c r="D887" s="19"/>
    </row>
    <row r="888">
      <c r="C888" s="18"/>
      <c r="D888" s="19"/>
    </row>
    <row r="889">
      <c r="C889" s="18"/>
      <c r="D889" s="19"/>
    </row>
    <row r="890">
      <c r="C890" s="18"/>
      <c r="D890" s="19"/>
    </row>
    <row r="891">
      <c r="C891" s="18"/>
      <c r="D891" s="19"/>
    </row>
    <row r="892">
      <c r="C892" s="18"/>
      <c r="D892" s="19"/>
    </row>
    <row r="893">
      <c r="C893" s="18"/>
      <c r="D893" s="19"/>
    </row>
    <row r="894">
      <c r="C894" s="18"/>
      <c r="D894" s="19"/>
    </row>
    <row r="895">
      <c r="C895" s="18"/>
      <c r="D895" s="19"/>
    </row>
    <row r="896">
      <c r="C896" s="18"/>
      <c r="D896" s="19"/>
    </row>
    <row r="897">
      <c r="C897" s="18"/>
      <c r="D897" s="19"/>
    </row>
    <row r="898">
      <c r="C898" s="18"/>
      <c r="D898" s="19"/>
    </row>
    <row r="899">
      <c r="C899" s="18"/>
      <c r="D899" s="19"/>
    </row>
    <row r="900">
      <c r="C900" s="18"/>
      <c r="D900" s="19"/>
    </row>
    <row r="901">
      <c r="C901" s="18"/>
      <c r="D901" s="19"/>
    </row>
    <row r="902">
      <c r="C902" s="18"/>
      <c r="D902" s="19"/>
    </row>
    <row r="903">
      <c r="C903" s="18"/>
      <c r="D903" s="19"/>
    </row>
    <row r="904">
      <c r="C904" s="18"/>
      <c r="D904" s="19"/>
    </row>
    <row r="905">
      <c r="C905" s="18"/>
      <c r="D905" s="19"/>
    </row>
    <row r="906">
      <c r="C906" s="18"/>
      <c r="D906" s="19"/>
    </row>
    <row r="907">
      <c r="C907" s="18"/>
      <c r="D907" s="19"/>
    </row>
    <row r="908">
      <c r="C908" s="18"/>
      <c r="D908" s="19"/>
    </row>
    <row r="909">
      <c r="C909" s="18"/>
      <c r="D909" s="19"/>
    </row>
    <row r="910">
      <c r="C910" s="18"/>
      <c r="D910" s="19"/>
    </row>
    <row r="911">
      <c r="C911" s="18"/>
      <c r="D911" s="19"/>
    </row>
    <row r="912">
      <c r="C912" s="18"/>
      <c r="D912" s="19"/>
    </row>
    <row r="913">
      <c r="C913" s="18"/>
      <c r="D913" s="19"/>
    </row>
    <row r="914">
      <c r="C914" s="18"/>
      <c r="D914" s="19"/>
    </row>
    <row r="915">
      <c r="C915" s="18"/>
      <c r="D915" s="19"/>
    </row>
    <row r="916">
      <c r="C916" s="18"/>
      <c r="D916" s="19"/>
    </row>
    <row r="917">
      <c r="C917" s="18"/>
      <c r="D917" s="19"/>
    </row>
    <row r="918">
      <c r="C918" s="18"/>
      <c r="D918" s="19"/>
    </row>
    <row r="919">
      <c r="C919" s="18"/>
      <c r="D919" s="19"/>
    </row>
    <row r="920">
      <c r="C920" s="18"/>
      <c r="D920" s="19"/>
    </row>
    <row r="921">
      <c r="C921" s="18"/>
      <c r="D921" s="19"/>
    </row>
    <row r="922">
      <c r="C922" s="18"/>
      <c r="D922" s="19"/>
    </row>
    <row r="923">
      <c r="C923" s="18"/>
      <c r="D923" s="19"/>
    </row>
    <row r="924">
      <c r="C924" s="18"/>
      <c r="D924" s="19"/>
    </row>
    <row r="925">
      <c r="C925" s="18"/>
      <c r="D925" s="19"/>
    </row>
    <row r="926">
      <c r="C926" s="18"/>
      <c r="D926" s="19"/>
    </row>
    <row r="927">
      <c r="C927" s="18"/>
      <c r="D927" s="19"/>
    </row>
    <row r="928">
      <c r="C928" s="18"/>
      <c r="D928" s="19"/>
    </row>
    <row r="929">
      <c r="C929" s="18"/>
      <c r="D929" s="19"/>
    </row>
    <row r="930">
      <c r="C930" s="18"/>
      <c r="D930" s="19"/>
    </row>
    <row r="931">
      <c r="C931" s="18"/>
      <c r="D931" s="19"/>
    </row>
    <row r="932">
      <c r="C932" s="18"/>
      <c r="D932" s="19"/>
    </row>
    <row r="933">
      <c r="C933" s="18"/>
      <c r="D933" s="19"/>
    </row>
    <row r="934">
      <c r="C934" s="18"/>
      <c r="D934" s="19"/>
    </row>
    <row r="935">
      <c r="C935" s="18"/>
      <c r="D935" s="19"/>
    </row>
    <row r="936">
      <c r="C936" s="18"/>
      <c r="D936" s="19"/>
    </row>
    <row r="937">
      <c r="C937" s="18"/>
      <c r="D937" s="19"/>
    </row>
    <row r="938">
      <c r="C938" s="18"/>
      <c r="D938" s="19"/>
    </row>
    <row r="939">
      <c r="C939" s="18"/>
      <c r="D939" s="19"/>
    </row>
    <row r="940">
      <c r="C940" s="18"/>
      <c r="D940" s="19"/>
    </row>
    <row r="941">
      <c r="C941" s="18"/>
      <c r="D941" s="19"/>
    </row>
    <row r="942">
      <c r="C942" s="18"/>
      <c r="D942" s="19"/>
    </row>
    <row r="943">
      <c r="C943" s="18"/>
      <c r="D943" s="19"/>
    </row>
    <row r="944">
      <c r="C944" s="18"/>
      <c r="D944" s="19"/>
    </row>
    <row r="945">
      <c r="C945" s="18"/>
      <c r="D945" s="19"/>
    </row>
    <row r="946">
      <c r="C946" s="18"/>
      <c r="D946" s="19"/>
    </row>
    <row r="947">
      <c r="C947" s="18"/>
      <c r="D947" s="19"/>
    </row>
    <row r="948">
      <c r="C948" s="18"/>
      <c r="D948" s="19"/>
    </row>
    <row r="949">
      <c r="C949" s="18"/>
      <c r="D949" s="19"/>
    </row>
    <row r="950">
      <c r="C950" s="18"/>
      <c r="D950" s="19"/>
    </row>
    <row r="951">
      <c r="C951" s="18"/>
      <c r="D951" s="19"/>
    </row>
    <row r="952">
      <c r="C952" s="18"/>
      <c r="D952" s="19"/>
    </row>
    <row r="953">
      <c r="C953" s="18"/>
      <c r="D953" s="19"/>
    </row>
    <row r="954">
      <c r="C954" s="18"/>
      <c r="D954" s="19"/>
    </row>
    <row r="955">
      <c r="C955" s="18"/>
      <c r="D955" s="19"/>
    </row>
    <row r="956">
      <c r="C956" s="18"/>
      <c r="D956" s="19"/>
    </row>
    <row r="957">
      <c r="C957" s="18"/>
      <c r="D957" s="19"/>
    </row>
    <row r="958">
      <c r="C958" s="18"/>
      <c r="D958" s="19"/>
    </row>
    <row r="959">
      <c r="C959" s="18"/>
      <c r="D959" s="19"/>
    </row>
    <row r="960">
      <c r="C960" s="18"/>
      <c r="D960" s="19"/>
    </row>
    <row r="961">
      <c r="C961" s="18"/>
      <c r="D961" s="19"/>
    </row>
    <row r="962">
      <c r="C962" s="18"/>
      <c r="D962" s="19"/>
    </row>
    <row r="963">
      <c r="C963" s="18"/>
      <c r="D963" s="19"/>
    </row>
    <row r="964">
      <c r="C964" s="18"/>
      <c r="D964" s="19"/>
    </row>
    <row r="965">
      <c r="C965" s="18"/>
      <c r="D965" s="19"/>
    </row>
    <row r="966">
      <c r="C966" s="18"/>
      <c r="D966" s="19"/>
    </row>
    <row r="967">
      <c r="C967" s="18"/>
      <c r="D967" s="19"/>
    </row>
    <row r="968">
      <c r="C968" s="18"/>
      <c r="D968" s="19"/>
    </row>
    <row r="969">
      <c r="C969" s="18"/>
      <c r="D969" s="19"/>
    </row>
    <row r="970">
      <c r="C970" s="18"/>
      <c r="D970" s="19"/>
    </row>
    <row r="971">
      <c r="C971" s="18"/>
      <c r="D971" s="19"/>
    </row>
    <row r="972">
      <c r="C972" s="18"/>
      <c r="D972" s="19"/>
    </row>
    <row r="973">
      <c r="C973" s="18"/>
      <c r="D973" s="19"/>
    </row>
    <row r="974">
      <c r="C974" s="18"/>
      <c r="D974" s="19"/>
    </row>
    <row r="975">
      <c r="C975" s="18"/>
      <c r="D975" s="19"/>
    </row>
    <row r="976">
      <c r="C976" s="18"/>
      <c r="D976" s="19"/>
    </row>
    <row r="977">
      <c r="C977" s="18"/>
      <c r="D977" s="19"/>
    </row>
    <row r="978">
      <c r="C978" s="18"/>
      <c r="D978" s="19"/>
    </row>
    <row r="979">
      <c r="C979" s="18"/>
      <c r="D979" s="19"/>
    </row>
    <row r="980">
      <c r="C980" s="18"/>
      <c r="D980" s="19"/>
    </row>
    <row r="981">
      <c r="C981" s="18"/>
      <c r="D981" s="19"/>
    </row>
    <row r="982">
      <c r="C982" s="18"/>
      <c r="D982" s="19"/>
    </row>
    <row r="983">
      <c r="C983" s="18"/>
      <c r="D983" s="19"/>
    </row>
    <row r="984">
      <c r="C984" s="18"/>
      <c r="D984" s="19"/>
    </row>
    <row r="985">
      <c r="C985" s="18"/>
      <c r="D985" s="19"/>
    </row>
    <row r="986">
      <c r="C986" s="18"/>
      <c r="D986" s="19"/>
    </row>
    <row r="987">
      <c r="C987" s="18"/>
      <c r="D987" s="19"/>
    </row>
    <row r="988">
      <c r="C988" s="18"/>
      <c r="D988" s="19"/>
    </row>
    <row r="989">
      <c r="C989" s="18"/>
      <c r="D989" s="19"/>
    </row>
    <row r="990">
      <c r="C990" s="18"/>
      <c r="D990" s="19"/>
    </row>
    <row r="991">
      <c r="C991" s="18"/>
      <c r="D991" s="19"/>
    </row>
    <row r="992">
      <c r="C992" s="18"/>
      <c r="D992" s="19"/>
    </row>
    <row r="993">
      <c r="C993" s="18"/>
      <c r="D993" s="19"/>
    </row>
    <row r="994">
      <c r="C994" s="18"/>
      <c r="D994" s="19"/>
    </row>
    <row r="995">
      <c r="C995" s="18"/>
      <c r="D995" s="19"/>
    </row>
    <row r="996">
      <c r="C996" s="18"/>
      <c r="D996" s="19"/>
    </row>
    <row r="997">
      <c r="C997" s="18"/>
      <c r="D997" s="19"/>
    </row>
    <row r="998">
      <c r="C998" s="18"/>
      <c r="D998" s="19"/>
    </row>
    <row r="999">
      <c r="C999" s="18"/>
      <c r="D999" s="19"/>
    </row>
    <row r="1000">
      <c r="C1000" s="18"/>
      <c r="D1000" s="1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5"/>
    <col customWidth="1" min="5" max="5" width="14.25"/>
    <col customWidth="1" min="6" max="6" width="15.25"/>
  </cols>
  <sheetData>
    <row r="1">
      <c r="B1" s="22" t="s">
        <v>25</v>
      </c>
      <c r="C1" s="24" t="s">
        <v>61</v>
      </c>
      <c r="D1" s="2" t="s">
        <v>61</v>
      </c>
      <c r="E1" s="18"/>
      <c r="F1" s="19"/>
    </row>
    <row r="2">
      <c r="B2" s="4" t="str">
        <f>'Аркуш11'!C2&amp;" "&amp;'Аркуш11'!D2&amp;" "&amp;'Аркуш11'!E2</f>
        <v>Епифанов Иван Алексеевич</v>
      </c>
      <c r="C2" s="27" t="str">
        <f>'Аркуш11'!K2</f>
        <v>9756324</v>
      </c>
      <c r="D2" s="2">
        <v>9756324.0</v>
      </c>
      <c r="E2" s="18" t="str">
        <f t="shared" ref="E2:E104" si="1">IFS(LEN(D2)=6,CONCAT("0482",D2),LEN(D2)=7,CONCAT("048",D2))</f>
        <v>0489756324</v>
      </c>
      <c r="F2" s="19">
        <v>4.89756324E8</v>
      </c>
    </row>
    <row r="3">
      <c r="B3" s="4" t="str">
        <f>'Аркуш11'!C3&amp;" "&amp;'Аркуш11'!D3&amp;" "&amp;'Аркуш11'!E3</f>
        <v>Балочкин  Игорь Вадимович</v>
      </c>
      <c r="C3" s="27" t="str">
        <f>'Аркуш11'!K3</f>
        <v>2175876</v>
      </c>
      <c r="D3" s="2">
        <v>2175876.0</v>
      </c>
      <c r="E3" s="18" t="str">
        <f t="shared" si="1"/>
        <v>0482175876</v>
      </c>
      <c r="F3" s="19">
        <v>4.82175876E8</v>
      </c>
    </row>
    <row r="4">
      <c r="B4" s="4" t="str">
        <f>'Аркуш11'!C4&amp;" "&amp;'Аркуш11'!D4&amp;" "&amp;'Аркуш11'!E4</f>
        <v>Кувшинов Виктор Евгеньевич</v>
      </c>
      <c r="C4" s="27" t="str">
        <f>'Аркуш11'!K4</f>
        <v>4847540</v>
      </c>
      <c r="D4" s="2">
        <v>4847540.0</v>
      </c>
      <c r="E4" s="18" t="str">
        <f t="shared" si="1"/>
        <v>0484847540</v>
      </c>
      <c r="F4" s="19">
        <v>4.8484754E8</v>
      </c>
    </row>
    <row r="5">
      <c r="B5" s="4" t="str">
        <f>'Аркуш11'!C5&amp;" "&amp;'Аркуш11'!D5&amp;" "&amp;'Аркуш11'!E5</f>
        <v>Бобошко Максим Михайлович</v>
      </c>
      <c r="C5" s="27" t="str">
        <f>'Аркуш11'!K5</f>
        <v>7235957</v>
      </c>
      <c r="D5" s="2">
        <v>7235957.0</v>
      </c>
      <c r="E5" s="18" t="str">
        <f t="shared" si="1"/>
        <v>0487235957</v>
      </c>
      <c r="F5" s="19">
        <v>4.87235957E8</v>
      </c>
    </row>
    <row r="6">
      <c r="B6" s="4" t="str">
        <f>'Аркуш11'!C6&amp;" "&amp;'Аркуш11'!D6&amp;" "&amp;'Аркуш11'!E6</f>
        <v>Павлюкова Елизавета Владимировна</v>
      </c>
      <c r="C6" s="27" t="str">
        <f>'Аркуш11'!K6</f>
        <v>9221389</v>
      </c>
      <c r="D6" s="2">
        <v>9221389.0</v>
      </c>
      <c r="E6" s="18" t="str">
        <f t="shared" si="1"/>
        <v>0489221389</v>
      </c>
      <c r="F6" s="19">
        <v>4.89221389E8</v>
      </c>
    </row>
    <row r="7">
      <c r="B7" s="4" t="str">
        <f>'Аркуш11'!C7&amp;" "&amp;'Аркуш11'!D7&amp;" "&amp;'Аркуш11'!E7</f>
        <v>Гаврилюк Юрий Валентинович</v>
      </c>
      <c r="C7" s="27" t="str">
        <f>'Аркуш11'!K7</f>
        <v>5008696</v>
      </c>
      <c r="D7" s="2">
        <v>5008696.0</v>
      </c>
      <c r="E7" s="18" t="str">
        <f t="shared" si="1"/>
        <v>0485008696</v>
      </c>
      <c r="F7" s="19">
        <v>4.85008696E8</v>
      </c>
    </row>
    <row r="8">
      <c r="B8" s="4" t="str">
        <f>'Аркуш11'!C8&amp;" "&amp;'Аркуш11'!D8&amp;" "&amp;'Аркуш11'!E8</f>
        <v>Изотова Ирина Александровна </v>
      </c>
      <c r="C8" s="27" t="str">
        <f>'Аркуш11'!K8</f>
        <v>8805222</v>
      </c>
      <c r="D8" s="2">
        <v>8805222.0</v>
      </c>
      <c r="E8" s="18" t="str">
        <f t="shared" si="1"/>
        <v>0488805222</v>
      </c>
      <c r="F8" s="19">
        <v>4.88805222E8</v>
      </c>
    </row>
    <row r="9">
      <c r="B9" s="4" t="str">
        <f>'Аркуш11'!C9&amp;" "&amp;'Аркуш11'!D9&amp;" "&amp;'Аркуш11'!E9</f>
        <v>Сторожев Олег Игоревич</v>
      </c>
      <c r="C9" s="27" t="str">
        <f>'Аркуш11'!K9</f>
        <v>7352238</v>
      </c>
      <c r="D9" s="2">
        <v>7352238.0</v>
      </c>
      <c r="E9" s="18" t="str">
        <f t="shared" si="1"/>
        <v>0487352238</v>
      </c>
      <c r="F9" s="19">
        <v>4.87352238E8</v>
      </c>
    </row>
    <row r="10">
      <c r="B10" s="4" t="str">
        <f>'Аркуш11'!C10&amp;" "&amp;'Аркуш11'!D10&amp;" "&amp;'Аркуш11'!E10</f>
        <v>Спивак Максим Игоревич </v>
      </c>
      <c r="C10" s="27" t="str">
        <f>'Аркуш11'!K10</f>
        <v>3961683</v>
      </c>
      <c r="D10" s="2">
        <v>3961683.0</v>
      </c>
      <c r="E10" s="18" t="str">
        <f t="shared" si="1"/>
        <v>0483961683</v>
      </c>
      <c r="F10" s="19">
        <v>4.83961683E8</v>
      </c>
    </row>
    <row r="11">
      <c r="B11" s="4" t="str">
        <f>'Аркуш11'!C11&amp;" "&amp;'Аркуш11'!D11&amp;" "&amp;'Аркуш11'!E11</f>
        <v>Спивак Максим Игоревич </v>
      </c>
      <c r="C11" s="27" t="str">
        <f>'Аркуш11'!K11</f>
        <v>3961683</v>
      </c>
      <c r="D11" s="2">
        <v>3961683.0</v>
      </c>
      <c r="E11" s="18" t="str">
        <f t="shared" si="1"/>
        <v>0483961683</v>
      </c>
      <c r="F11" s="19">
        <v>4.83961683E8</v>
      </c>
    </row>
    <row r="12">
      <c r="B12" s="4" t="str">
        <f>'Аркуш11'!C12&amp;" "&amp;'Аркуш11'!D12&amp;" "&amp;'Аркуш11'!E12</f>
        <v>Епифанов Иван Алексеевич</v>
      </c>
      <c r="C12" s="27" t="str">
        <f>'Аркуш11'!K12</f>
        <v>9756324</v>
      </c>
      <c r="D12" s="2">
        <v>9756324.0</v>
      </c>
      <c r="E12" s="18" t="str">
        <f t="shared" si="1"/>
        <v>0489756324</v>
      </c>
      <c r="F12" s="19">
        <v>4.89756324E8</v>
      </c>
    </row>
    <row r="13">
      <c r="B13" s="4" t="str">
        <f>'Аркуш11'!C13&amp;" "&amp;'Аркуш11'!D13&amp;" "&amp;'Аркуш11'!E13</f>
        <v>Дуганов Костя Вячеславович</v>
      </c>
      <c r="C13" s="27" t="str">
        <f>'Аркуш11'!K13</f>
        <v>4177621</v>
      </c>
      <c r="D13" s="23">
        <v>4177621.0</v>
      </c>
      <c r="E13" s="25" t="str">
        <f t="shared" si="1"/>
        <v>0484177621</v>
      </c>
      <c r="F13" s="26">
        <v>4.84177621E8</v>
      </c>
    </row>
    <row r="14">
      <c r="B14" s="4" t="str">
        <f>'Аркуш11'!C14&amp;" "&amp;'Аркуш11'!D14&amp;" "&amp;'Аркуш11'!E14</f>
        <v>Юрескул Дарья Юрьевна</v>
      </c>
      <c r="C14" s="27" t="str">
        <f>'Аркуш11'!K14</f>
        <v>0181270</v>
      </c>
      <c r="D14" s="29">
        <v>181270.0</v>
      </c>
      <c r="E14" s="30" t="str">
        <f t="shared" si="1"/>
        <v>0482181270</v>
      </c>
      <c r="F14" s="31">
        <v>4.8218127E8</v>
      </c>
    </row>
    <row r="15">
      <c r="B15" s="4" t="str">
        <f>'Аркуш11'!C15&amp;" "&amp;'Аркуш11'!D15&amp;" "&amp;'Аркуш11'!E15</f>
        <v>Бобошко Максим Михайлович</v>
      </c>
      <c r="C15" s="27" t="str">
        <f>'Аркуш11'!K15</f>
        <v>0424742</v>
      </c>
      <c r="D15" s="2">
        <v>424742.0</v>
      </c>
      <c r="E15" s="18" t="str">
        <f t="shared" si="1"/>
        <v>0482424742</v>
      </c>
      <c r="F15" s="19">
        <v>4.82424742E8</v>
      </c>
    </row>
    <row r="16">
      <c r="B16" s="4" t="str">
        <f>'Аркуш11'!C16&amp;" "&amp;'Аркуш11'!D16&amp;" "&amp;'Аркуш11'!E16</f>
        <v>Габчак Ольга Александровна</v>
      </c>
      <c r="C16" s="27" t="str">
        <f>'Аркуш11'!K16</f>
        <v>3898299</v>
      </c>
      <c r="D16" s="2">
        <v>3898299.0</v>
      </c>
      <c r="E16" s="18" t="str">
        <f t="shared" si="1"/>
        <v>0483898299</v>
      </c>
      <c r="F16" s="19">
        <v>4.83898299E8</v>
      </c>
    </row>
    <row r="17">
      <c r="B17" s="4" t="str">
        <f>'Аркуш11'!C17&amp;" "&amp;'Аркуш11'!D17&amp;" "&amp;'Аркуш11'!E17</f>
        <v>Станкевич Даниил Дмитриевич</v>
      </c>
      <c r="C17" s="27" t="str">
        <f>'Аркуш11'!K17</f>
        <v>2204010</v>
      </c>
      <c r="D17" s="2">
        <v>2204010.0</v>
      </c>
      <c r="E17" s="18" t="str">
        <f t="shared" si="1"/>
        <v>0482204010</v>
      </c>
      <c r="F17" s="19">
        <v>4.8220401E8</v>
      </c>
    </row>
    <row r="18">
      <c r="B18" s="4" t="str">
        <f>'Аркуш11'!C18&amp;" "&amp;'Аркуш11'!D18&amp;" "&amp;'Аркуш11'!E18</f>
        <v>Коджебаш Никита Сергеевич</v>
      </c>
      <c r="C18" s="27" t="str">
        <f>'Аркуш11'!K18</f>
        <v>9205729</v>
      </c>
      <c r="D18" s="2">
        <v>9205729.0</v>
      </c>
      <c r="E18" s="18" t="str">
        <f t="shared" si="1"/>
        <v>0489205729</v>
      </c>
      <c r="F18" s="19">
        <v>4.89205729E8</v>
      </c>
    </row>
    <row r="19">
      <c r="B19" s="4" t="str">
        <f>'Аркуш11'!C19&amp;" "&amp;'Аркуш11'!D19&amp;" "&amp;'Аркуш11'!E19</f>
        <v>Паладий Владислав Григорьевич</v>
      </c>
      <c r="C19" s="27" t="str">
        <f>'Аркуш11'!K19</f>
        <v>0790437</v>
      </c>
      <c r="D19" s="2">
        <v>790437.0</v>
      </c>
      <c r="E19" s="18" t="str">
        <f t="shared" si="1"/>
        <v>0482790437</v>
      </c>
      <c r="F19" s="19">
        <v>4.82790437E8</v>
      </c>
    </row>
    <row r="20">
      <c r="B20" s="4" t="str">
        <f>'Аркуш11'!C20&amp;" "&amp;'Аркуш11'!D20&amp;" "&amp;'Аркуш11'!E20</f>
        <v>Сергатий Евгений Юрійович</v>
      </c>
      <c r="C20" s="27" t="str">
        <f>'Аркуш11'!K20</f>
        <v>7437733</v>
      </c>
      <c r="D20" s="2">
        <v>7437733.0</v>
      </c>
      <c r="E20" s="18" t="str">
        <f t="shared" si="1"/>
        <v>0487437733</v>
      </c>
      <c r="F20" s="19">
        <v>4.87437733E8</v>
      </c>
    </row>
    <row r="21">
      <c r="B21" s="4" t="str">
        <f>'Аркуш11'!C21&amp;" "&amp;'Аркуш11'!D21&amp;" "&amp;'Аркуш11'!E21</f>
        <v>Паладий Влад Григорьевич</v>
      </c>
      <c r="C21" s="27" t="str">
        <f>'Аркуш11'!K21</f>
        <v>0790437</v>
      </c>
      <c r="D21" s="2">
        <v>790437.0</v>
      </c>
      <c r="E21" s="18" t="str">
        <f t="shared" si="1"/>
        <v>0482790437</v>
      </c>
      <c r="F21" s="19">
        <v>4.82790437E8</v>
      </c>
    </row>
    <row r="22">
      <c r="B22" s="4" t="str">
        <f>'Аркуш11'!C22&amp;" "&amp;'Аркуш11'!D22&amp;" "&amp;'Аркуш11'!E22</f>
        <v>Дыкусар Максим Игоревич</v>
      </c>
      <c r="C22" s="27" t="str">
        <f>'Аркуш11'!K22</f>
        <v>2141839</v>
      </c>
      <c r="D22" s="2">
        <v>2141839.0</v>
      </c>
      <c r="E22" s="18" t="str">
        <f t="shared" si="1"/>
        <v>0482141839</v>
      </c>
      <c r="F22" s="19">
        <v>4.82141839E8</v>
      </c>
    </row>
    <row r="23">
      <c r="B23" s="4" t="str">
        <f>'Аркуш11'!C23&amp;" "&amp;'Аркуш11'!D23&amp;" "&amp;'Аркуш11'!E23</f>
        <v>Тучков Иван Денисович</v>
      </c>
      <c r="C23" s="27" t="str">
        <f>'Аркуш11'!K23</f>
        <v>2168316</v>
      </c>
      <c r="D23" s="2">
        <v>2168316.0</v>
      </c>
      <c r="E23" s="18" t="str">
        <f t="shared" si="1"/>
        <v>0482168316</v>
      </c>
      <c r="F23" s="19">
        <v>4.82168316E8</v>
      </c>
    </row>
    <row r="24">
      <c r="B24" s="4" t="str">
        <f>'Аркуш11'!C24&amp;" "&amp;'Аркуш11'!D24&amp;" "&amp;'Аркуш11'!E24</f>
        <v>Сапега Никита Александрович</v>
      </c>
      <c r="C24" s="27" t="str">
        <f>'Аркуш11'!K24</f>
        <v>7718190</v>
      </c>
      <c r="D24" s="2">
        <v>7718190.0</v>
      </c>
      <c r="E24" s="18" t="str">
        <f t="shared" si="1"/>
        <v>0487718190</v>
      </c>
      <c r="F24" s="19">
        <v>4.8771819E8</v>
      </c>
    </row>
    <row r="25">
      <c r="B25" s="4" t="str">
        <f>'Аркуш11'!C25&amp;" "&amp;'Аркуш11'!D25&amp;" "&amp;'Аркуш11'!E25</f>
        <v>Михайленко Дмитрий Денисович</v>
      </c>
      <c r="C25" s="27" t="str">
        <f>'Аркуш11'!K25</f>
        <v>5-15-85</v>
      </c>
      <c r="D25" s="2" t="s">
        <v>120</v>
      </c>
      <c r="E25" s="18" t="str">
        <f t="shared" si="1"/>
        <v>0485-15-85</v>
      </c>
      <c r="F25" s="19" t="s">
        <v>155</v>
      </c>
    </row>
    <row r="26">
      <c r="B26" s="4" t="str">
        <f>'Аркуш11'!C26&amp;" "&amp;'Аркуш11'!D26&amp;" "&amp;'Аркуш11'!E26</f>
        <v>Леончик Вероника Евгеньевна</v>
      </c>
      <c r="C26" s="27" t="str">
        <f>'Аркуш11'!K26</f>
        <v>8553582</v>
      </c>
      <c r="D26" s="2">
        <v>8553582.0</v>
      </c>
      <c r="E26" s="18" t="str">
        <f t="shared" si="1"/>
        <v>0488553582</v>
      </c>
      <c r="F26" s="19">
        <v>4.88553582E8</v>
      </c>
    </row>
    <row r="27">
      <c r="B27" s="4" t="str">
        <f>'Аркуш11'!C27&amp;" "&amp;'Аркуш11'!D27&amp;" "&amp;'Аркуш11'!E27</f>
        <v>Бондарь Антон Викторович</v>
      </c>
      <c r="C27" s="27" t="str">
        <f>'Аркуш11'!K27</f>
        <v>3579004</v>
      </c>
      <c r="D27" s="2">
        <v>3579004.0</v>
      </c>
      <c r="E27" s="18" t="str">
        <f t="shared" si="1"/>
        <v>0483579004</v>
      </c>
      <c r="F27" s="19">
        <v>4.83579004E8</v>
      </c>
    </row>
    <row r="28">
      <c r="B28" s="4" t="str">
        <f>'Аркуш11'!C28&amp;" "&amp;'Аркуш11'!D28&amp;" "&amp;'Аркуш11'!E28</f>
        <v>Нефедов Микола Геннадійович</v>
      </c>
      <c r="C28" s="27" t="str">
        <f>'Аркуш11'!K28</f>
        <v>8690452</v>
      </c>
      <c r="D28" s="2">
        <v>8690452.0</v>
      </c>
      <c r="E28" s="18" t="str">
        <f t="shared" si="1"/>
        <v>0488690452</v>
      </c>
      <c r="F28" s="19">
        <v>4.88690452E8</v>
      </c>
    </row>
    <row r="29">
      <c r="B29" s="4" t="str">
        <f>'Аркуш11'!C29&amp;" "&amp;'Аркуш11'!D29&amp;" "&amp;'Аркуш11'!E29</f>
        <v>Тучков Егор Денисович</v>
      </c>
      <c r="C29" s="27" t="str">
        <f>'Аркуш11'!K29</f>
        <v>6347028</v>
      </c>
      <c r="D29" s="2">
        <v>6347028.0</v>
      </c>
      <c r="E29" s="18" t="str">
        <f t="shared" si="1"/>
        <v>0486347028</v>
      </c>
      <c r="F29" s="19">
        <v>4.86347028E8</v>
      </c>
    </row>
    <row r="30">
      <c r="B30" s="4" t="str">
        <f>'Аркуш11'!C30&amp;" "&amp;'Аркуш11'!D30&amp;" "&amp;'Аркуш11'!E30</f>
        <v>Запрудский Виктор Витальевич</v>
      </c>
      <c r="C30" s="27" t="str">
        <f>'Аркуш11'!K30</f>
        <v>9323072</v>
      </c>
      <c r="D30" s="2">
        <v>9323072.0</v>
      </c>
      <c r="E30" s="18" t="str">
        <f t="shared" si="1"/>
        <v>0489323072</v>
      </c>
      <c r="F30" s="19">
        <v>4.89323072E8</v>
      </c>
    </row>
    <row r="31">
      <c r="B31" s="4" t="str">
        <f>'Аркуш11'!C31&amp;" "&amp;'Аркуш11'!D31&amp;" "&amp;'Аркуш11'!E31</f>
        <v>Власенко Андрей Андреевич</v>
      </c>
      <c r="C31" s="27" t="str">
        <f>'Аркуш11'!K31</f>
        <v>2929706</v>
      </c>
      <c r="D31" s="2">
        <v>2929706.0</v>
      </c>
      <c r="E31" s="18" t="str">
        <f t="shared" si="1"/>
        <v>0482929706</v>
      </c>
      <c r="F31" s="19">
        <v>4.82929706E8</v>
      </c>
    </row>
    <row r="32">
      <c r="B32" s="4" t="str">
        <f>'Аркуш11'!C32&amp;" "&amp;'Аркуш11'!D32&amp;" "&amp;'Аркуш11'!E32</f>
        <v>Кавалеров Владимир Владимирович</v>
      </c>
      <c r="C32" s="27" t="str">
        <f>'Аркуш11'!K32</f>
        <v>3-06-87</v>
      </c>
      <c r="D32" s="32">
        <v>31931.0</v>
      </c>
      <c r="E32" s="18" t="str">
        <f t="shared" si="1"/>
        <v>#N/A</v>
      </c>
      <c r="F32" s="19" t="e">
        <v>#N/A</v>
      </c>
    </row>
    <row r="33">
      <c r="B33" s="4" t="str">
        <f>'Аркуш11'!C33&amp;" "&amp;'Аркуш11'!D33&amp;" "&amp;'Аркуш11'!E33</f>
        <v>Евдокимов Сергей Петрович</v>
      </c>
      <c r="C33" s="27" t="str">
        <f>'Аркуш11'!K33</f>
        <v>4989647</v>
      </c>
      <c r="D33" s="2">
        <v>4989647.0</v>
      </c>
      <c r="E33" s="18" t="str">
        <f t="shared" si="1"/>
        <v>0484989647</v>
      </c>
      <c r="F33" s="19">
        <v>4.84989647E8</v>
      </c>
    </row>
    <row r="34">
      <c r="B34" s="4" t="str">
        <f>'Аркуш11'!C34&amp;" "&amp;'Аркуш11'!D34&amp;" "&amp;'Аркуш11'!E34</f>
        <v>Фернандес де Ривес Николай Сергеевич</v>
      </c>
      <c r="C34" s="27" t="str">
        <f>'Аркуш11'!K34</f>
        <v>1361567</v>
      </c>
      <c r="D34" s="2">
        <v>1361567.0</v>
      </c>
      <c r="E34" s="18" t="str">
        <f t="shared" si="1"/>
        <v>0481361567</v>
      </c>
      <c r="F34" s="19">
        <v>4.81361567E8</v>
      </c>
    </row>
    <row r="35">
      <c r="B35" s="4" t="str">
        <f>'Аркуш11'!C35&amp;" "&amp;'Аркуш11'!D35&amp;" "&amp;'Аркуш11'!E35</f>
        <v>Степовой Владислав Юрьевич</v>
      </c>
      <c r="C35" s="27" t="str">
        <f>'Аркуш11'!K35</f>
        <v>9209211</v>
      </c>
      <c r="D35" s="2">
        <v>9209211.0</v>
      </c>
      <c r="E35" s="18" t="str">
        <f t="shared" si="1"/>
        <v>0489209211</v>
      </c>
      <c r="F35" s="19">
        <v>4.89209211E8</v>
      </c>
    </row>
    <row r="36">
      <c r="B36" s="4" t="str">
        <f>'Аркуш11'!C36&amp;" "&amp;'Аркуш11'!D36&amp;" "&amp;'Аркуш11'!E36</f>
        <v>Сурай Алексей Николаевич</v>
      </c>
      <c r="C36" s="27" t="str">
        <f>'Аркуш11'!K36</f>
        <v>4880197</v>
      </c>
      <c r="D36" s="2">
        <v>4880197.0</v>
      </c>
      <c r="E36" s="18" t="str">
        <f t="shared" si="1"/>
        <v>0484880197</v>
      </c>
      <c r="F36" s="19">
        <v>4.84880197E8</v>
      </c>
    </row>
    <row r="37">
      <c r="B37" s="4" t="str">
        <f>'Аркуш11'!C37&amp;" "&amp;'Аркуш11'!D37&amp;" "&amp;'Аркуш11'!E37</f>
        <v>Остапчук Константин Андреевич </v>
      </c>
      <c r="C37" s="27" t="str">
        <f>'Аркуш11'!K37</f>
        <v>5130125</v>
      </c>
      <c r="D37" s="2">
        <v>5130125.0</v>
      </c>
      <c r="E37" s="18" t="str">
        <f t="shared" si="1"/>
        <v>0485130125</v>
      </c>
      <c r="F37" s="19">
        <v>4.85130125E8</v>
      </c>
    </row>
    <row r="38">
      <c r="B38" s="4" t="str">
        <f>'Аркуш11'!C38&amp;" "&amp;'Аркуш11'!D38&amp;" "&amp;'Аркуш11'!E38</f>
        <v>Чачко Натан Леонидович</v>
      </c>
      <c r="C38" s="27" t="str">
        <f>'Аркуш11'!K38</f>
        <v>9792811</v>
      </c>
      <c r="D38" s="2">
        <v>9792811.0</v>
      </c>
      <c r="E38" s="18" t="str">
        <f t="shared" si="1"/>
        <v>0489792811</v>
      </c>
      <c r="F38" s="19">
        <v>4.89792811E8</v>
      </c>
    </row>
    <row r="39">
      <c r="B39" s="4" t="str">
        <f>'Аркуш11'!C39&amp;" "&amp;'Аркуш11'!D39&amp;" "&amp;'Аркуш11'!E39</f>
        <v>Хмелевский Никита Олегович</v>
      </c>
      <c r="C39" s="27" t="str">
        <f>'Аркуш11'!K39</f>
        <v>4861520</v>
      </c>
      <c r="D39" s="2">
        <v>4861520.0</v>
      </c>
      <c r="E39" s="18" t="str">
        <f t="shared" si="1"/>
        <v>0484861520</v>
      </c>
      <c r="F39" s="19">
        <v>4.8486152E8</v>
      </c>
    </row>
    <row r="40">
      <c r="B40" s="4" t="str">
        <f>'Аркуш11'!C40&amp;" "&amp;'Аркуш11'!D40&amp;" "&amp;'Аркуш11'!E40</f>
        <v>Примикирио Дина Витальевна</v>
      </c>
      <c r="C40" s="27" t="str">
        <f>'Аркуш11'!K40</f>
        <v>6187270</v>
      </c>
      <c r="D40" s="2">
        <v>6187270.0</v>
      </c>
      <c r="E40" s="18" t="str">
        <f t="shared" si="1"/>
        <v>0486187270</v>
      </c>
      <c r="F40" s="19">
        <v>4.8618727E8</v>
      </c>
    </row>
    <row r="41">
      <c r="B41" s="4" t="str">
        <f>'Аркуш11'!C41&amp;" "&amp;'Аркуш11'!D41&amp;" "&amp;'Аркуш11'!E41</f>
        <v>Костина Лариса Павловна</v>
      </c>
      <c r="C41" s="27" t="str">
        <f>'Аркуш11'!K41</f>
        <v>1228716</v>
      </c>
      <c r="D41" s="2">
        <v>1228716.0</v>
      </c>
      <c r="E41" s="18" t="str">
        <f t="shared" si="1"/>
        <v>0481228716</v>
      </c>
      <c r="F41" s="19">
        <v>4.81228716E8</v>
      </c>
    </row>
    <row r="42">
      <c r="B42" s="4" t="str">
        <f>'Аркуш11'!C42&amp;" "&amp;'Аркуш11'!D42&amp;" "&amp;'Аркуш11'!E42</f>
        <v>Прокоп Артём Сергеевич</v>
      </c>
      <c r="C42" s="27" t="str">
        <f>'Аркуш11'!K42</f>
        <v>9494201</v>
      </c>
      <c r="D42" s="2">
        <v>9494201.0</v>
      </c>
      <c r="E42" s="18" t="str">
        <f t="shared" si="1"/>
        <v>0489494201</v>
      </c>
      <c r="F42" s="19">
        <v>4.89494201E8</v>
      </c>
    </row>
    <row r="43">
      <c r="B43" s="4" t="str">
        <f>'Аркуш11'!C43&amp;" "&amp;'Аркуш11'!D43&amp;" "&amp;'Аркуш11'!E43</f>
        <v>Гриб Дарья Сергеевна</v>
      </c>
      <c r="C43" s="27" t="str">
        <f>'Аркуш11'!K43</f>
        <v>1180518</v>
      </c>
      <c r="D43" s="2">
        <v>1180518.0</v>
      </c>
      <c r="E43" s="18" t="str">
        <f t="shared" si="1"/>
        <v>0481180518</v>
      </c>
      <c r="F43" s="19">
        <v>4.81180518E8</v>
      </c>
    </row>
    <row r="44">
      <c r="B44" s="4" t="str">
        <f>'Аркуш11'!C44&amp;" "&amp;'Аркуш11'!D44&amp;" "&amp;'Аркуш11'!E44</f>
        <v>Чуб Максим Андреевич</v>
      </c>
      <c r="C44" s="27" t="str">
        <f>'Аркуш11'!K44</f>
        <v>7164943</v>
      </c>
      <c r="D44" s="2">
        <v>7164943.0</v>
      </c>
      <c r="E44" s="18" t="str">
        <f t="shared" si="1"/>
        <v>0487164943</v>
      </c>
      <c r="F44" s="19">
        <v>4.87164943E8</v>
      </c>
    </row>
    <row r="45">
      <c r="B45" s="4" t="str">
        <f>'Аркуш11'!C45&amp;" "&amp;'Аркуш11'!D45&amp;" "&amp;'Аркуш11'!E45</f>
        <v>Шахов Владислав Витальевич</v>
      </c>
      <c r="C45" s="27" t="str">
        <f>'Аркуш11'!K45</f>
        <v>4858966</v>
      </c>
      <c r="D45" s="2">
        <v>4858966.0</v>
      </c>
      <c r="E45" s="18" t="str">
        <f t="shared" si="1"/>
        <v>0484858966</v>
      </c>
      <c r="F45" s="19">
        <v>4.84858966E8</v>
      </c>
    </row>
    <row r="46">
      <c r="B46" s="4" t="str">
        <f>'Аркуш11'!C46&amp;" "&amp;'Аркуш11'!D46&amp;" "&amp;'Аркуш11'!E46</f>
        <v>Бердникова София Евгеньевна</v>
      </c>
      <c r="C46" s="27" t="str">
        <f>'Аркуш11'!K46</f>
        <v>7375097</v>
      </c>
      <c r="D46" s="2">
        <v>7375097.0</v>
      </c>
      <c r="E46" s="18" t="str">
        <f t="shared" si="1"/>
        <v>0487375097</v>
      </c>
      <c r="F46" s="19">
        <v>4.87375097E8</v>
      </c>
    </row>
    <row r="47">
      <c r="B47" s="4" t="str">
        <f>'Аркуш11'!C47&amp;" "&amp;'Аркуш11'!D47&amp;" "&amp;'Аркуш11'!E47</f>
        <v>Максименко Николай Сергеевич</v>
      </c>
      <c r="C47" s="27" t="str">
        <f>'Аркуш11'!K47</f>
        <v>9763553</v>
      </c>
      <c r="D47" s="2">
        <v>9763553.0</v>
      </c>
      <c r="E47" s="18" t="str">
        <f t="shared" si="1"/>
        <v>0489763553</v>
      </c>
      <c r="F47" s="19">
        <v>4.89763553E8</v>
      </c>
    </row>
    <row r="48">
      <c r="B48" s="4" t="str">
        <f>'Аркуш11'!C48&amp;" "&amp;'Аркуш11'!D48&amp;" "&amp;'Аркуш11'!E48</f>
        <v>Лях Влад Дмитриевич</v>
      </c>
      <c r="C48" s="27" t="str">
        <f>'Аркуш11'!K48</f>
        <v>-32-702</v>
      </c>
      <c r="D48" s="2" t="s">
        <v>163</v>
      </c>
      <c r="E48" s="18" t="str">
        <f t="shared" si="1"/>
        <v>048-32-702</v>
      </c>
      <c r="F48" s="19" t="s">
        <v>202</v>
      </c>
    </row>
    <row r="49">
      <c r="B49" s="4" t="str">
        <f>'Аркуш11'!C49&amp;" "&amp;'Аркуш11'!D49&amp;" "&amp;'Аркуш11'!E49</f>
        <v>Флоря Максим Геннадиевич </v>
      </c>
      <c r="C49" s="27" t="str">
        <f>'Аркуш11'!K49</f>
        <v>0865611</v>
      </c>
      <c r="D49" s="2">
        <v>865611.0</v>
      </c>
      <c r="E49" s="18" t="str">
        <f t="shared" si="1"/>
        <v>0482865611</v>
      </c>
      <c r="F49" s="19">
        <v>4.82865611E8</v>
      </c>
    </row>
    <row r="50">
      <c r="B50" s="4" t="str">
        <f>'Аркуш11'!C50&amp;" "&amp;'Аркуш11'!D50&amp;" "&amp;'Аркуш11'!E50</f>
        <v>Гуренко Анастасия Константиновна</v>
      </c>
      <c r="C50" s="27" t="str">
        <f>'Аркуш11'!K50</f>
        <v>1-13-05</v>
      </c>
      <c r="D50" s="2" t="s">
        <v>169</v>
      </c>
      <c r="E50" s="18" t="str">
        <f t="shared" si="1"/>
        <v>0481-13-05</v>
      </c>
      <c r="F50" s="19" t="s">
        <v>208</v>
      </c>
    </row>
    <row r="51">
      <c r="B51" s="4" t="str">
        <f>'Аркуш11'!C51&amp;" "&amp;'Аркуш11'!D51&amp;" "&amp;'Аркуш11'!E51</f>
        <v>Комыш Богдан Юрьевич</v>
      </c>
      <c r="C51" s="27" t="str">
        <f>'Аркуш11'!K51</f>
        <v>9756732</v>
      </c>
      <c r="D51" s="2">
        <v>9756732.0</v>
      </c>
      <c r="E51" s="18" t="str">
        <f t="shared" si="1"/>
        <v>0489756732</v>
      </c>
      <c r="F51" s="19">
        <v>4.89756732E8</v>
      </c>
    </row>
    <row r="52">
      <c r="B52" s="4" t="str">
        <f>'Аркуш11'!C52&amp;" "&amp;'Аркуш11'!D52&amp;" "&amp;'Аркуш11'!E52</f>
        <v>Хромов Евгений Александрович</v>
      </c>
      <c r="C52" s="27" t="str">
        <f>'Аркуш11'!K52</f>
        <v>9964190</v>
      </c>
      <c r="D52" s="2">
        <v>9964190.0</v>
      </c>
      <c r="E52" s="18" t="str">
        <f t="shared" si="1"/>
        <v>0489964190</v>
      </c>
      <c r="F52" s="19">
        <v>4.8996419E8</v>
      </c>
    </row>
    <row r="53">
      <c r="B53" s="4" t="str">
        <f>'Аркуш11'!C53&amp;" "&amp;'Аркуш11'!D53&amp;" "&amp;'Аркуш11'!E53</f>
        <v>Михальский Александр  Сергеевич</v>
      </c>
      <c r="C53" s="27" t="str">
        <f>'Аркуш11'!K53</f>
        <v>8800416</v>
      </c>
      <c r="D53" s="2">
        <v>8800416.0</v>
      </c>
      <c r="E53" s="18" t="str">
        <f t="shared" si="1"/>
        <v>0488800416</v>
      </c>
      <c r="F53" s="19">
        <v>4.88800416E8</v>
      </c>
    </row>
    <row r="54">
      <c r="B54" s="4" t="str">
        <f>'Аркуш11'!C54&amp;" "&amp;'Аркуш11'!D54&amp;" "&amp;'Аркуш11'!E54</f>
        <v>Мартын Екатерина Сергеевна</v>
      </c>
      <c r="C54" s="27" t="str">
        <f>'Аркуш11'!K54</f>
        <v>3956665</v>
      </c>
      <c r="D54" s="2">
        <v>3956665.0</v>
      </c>
      <c r="E54" s="18" t="str">
        <f t="shared" si="1"/>
        <v>0483956665</v>
      </c>
      <c r="F54" s="19">
        <v>4.83956665E8</v>
      </c>
    </row>
    <row r="55">
      <c r="B55" s="4" t="str">
        <f>'Аркуш11'!C55&amp;" "&amp;'Аркуш11'!D55&amp;" "&amp;'Аркуш11'!E55</f>
        <v>Григорашенко Катерина Витальевна</v>
      </c>
      <c r="C55" s="27" t="str">
        <f>'Аркуш11'!K55</f>
        <v>4894869</v>
      </c>
      <c r="D55" s="2">
        <v>4894869.0</v>
      </c>
      <c r="E55" s="18" t="str">
        <f t="shared" si="1"/>
        <v>0484894869</v>
      </c>
      <c r="F55" s="19">
        <v>4.84894869E8</v>
      </c>
    </row>
    <row r="56">
      <c r="B56" s="4" t="str">
        <f>'Аркуш11'!C56&amp;" "&amp;'Аркуш11'!D56&amp;" "&amp;'Аркуш11'!E56</f>
        <v>Мясниченко  Глеб Денисович</v>
      </c>
      <c r="C56" s="27" t="str">
        <f>'Аркуш11'!K56</f>
        <v>8-2-648</v>
      </c>
      <c r="D56" s="33" t="s">
        <v>220</v>
      </c>
      <c r="E56" s="18" t="str">
        <f t="shared" si="1"/>
        <v>#N/A</v>
      </c>
      <c r="F56" s="19" t="e">
        <v>#N/A</v>
      </c>
    </row>
    <row r="57">
      <c r="B57" s="4" t="str">
        <f>'Аркуш11'!C57&amp;" "&amp;'Аркуш11'!D57&amp;" "&amp;'Аркуш11'!E57</f>
        <v>Фудор Костя Станиславович</v>
      </c>
      <c r="C57" s="27" t="str">
        <f>'Аркуш11'!K57</f>
        <v>1835410</v>
      </c>
      <c r="D57" s="2">
        <v>1835410.0</v>
      </c>
      <c r="E57" s="18" t="str">
        <f t="shared" si="1"/>
        <v>0481835410</v>
      </c>
      <c r="F57" s="19">
        <v>4.8183541E8</v>
      </c>
    </row>
    <row r="58">
      <c r="B58" s="4" t="str">
        <f>'Аркуш11'!C58&amp;" "&amp;'Аркуш11'!D58&amp;" "&amp;'Аркуш11'!E58</f>
        <v>Аврахова Екатерина Андреевна</v>
      </c>
      <c r="C58" s="27" t="str">
        <f>'Аркуш11'!K58</f>
        <v>9480565</v>
      </c>
      <c r="D58" s="2">
        <v>9480565.0</v>
      </c>
      <c r="E58" s="18" t="str">
        <f t="shared" si="1"/>
        <v>0489480565</v>
      </c>
      <c r="F58" s="19">
        <v>4.89480565E8</v>
      </c>
    </row>
    <row r="59">
      <c r="B59" s="4" t="str">
        <f>'Аркуш11'!C59&amp;" "&amp;'Аркуш11'!D59&amp;" "&amp;'Аркуш11'!E59</f>
        <v>Дидченко София Геннадиевна</v>
      </c>
      <c r="C59" s="27" t="str">
        <f>'Аркуш11'!K59</f>
        <v>0473797</v>
      </c>
      <c r="D59" s="2">
        <v>473797.0</v>
      </c>
      <c r="E59" s="18" t="str">
        <f t="shared" si="1"/>
        <v>0482473797</v>
      </c>
      <c r="F59" s="19">
        <v>4.82473797E8</v>
      </c>
    </row>
    <row r="60">
      <c r="B60" s="4" t="str">
        <f>'Аркуш11'!C60&amp;" "&amp;'Аркуш11'!D60&amp;" "&amp;'Аркуш11'!E60</f>
        <v>Петин Михаил Александрович</v>
      </c>
      <c r="C60" s="27" t="str">
        <f>'Аркуш11'!K60</f>
        <v>2691606</v>
      </c>
      <c r="D60" s="2">
        <v>2691606.0</v>
      </c>
      <c r="E60" s="18" t="str">
        <f t="shared" si="1"/>
        <v>0482691606</v>
      </c>
      <c r="F60" s="19">
        <v>4.82691606E8</v>
      </c>
    </row>
    <row r="61">
      <c r="B61" s="4" t="str">
        <f>'Аркуш11'!C61&amp;" "&amp;'Аркуш11'!D61&amp;" "&amp;'Аркуш11'!E61</f>
        <v>Горбулінський  Дмитро  Олексійович </v>
      </c>
      <c r="C61" s="27" t="str">
        <f>'Аркуш11'!K61</f>
        <v>7884919</v>
      </c>
      <c r="D61" s="2">
        <v>7884919.0</v>
      </c>
      <c r="E61" s="18" t="str">
        <f t="shared" si="1"/>
        <v>0487884919</v>
      </c>
      <c r="F61" s="19">
        <v>4.87884919E8</v>
      </c>
    </row>
    <row r="62">
      <c r="B62" s="4" t="str">
        <f>'Аркуш11'!C62&amp;" "&amp;'Аркуш11'!D62&amp;" "&amp;'Аркуш11'!E62</f>
        <v>Федосеев Константин Денисович</v>
      </c>
      <c r="C62" s="27" t="str">
        <f>'Аркуш11'!K62</f>
        <v>7265893</v>
      </c>
      <c r="D62" s="2">
        <v>7265893.0</v>
      </c>
      <c r="E62" s="18" t="str">
        <f t="shared" si="1"/>
        <v>0487265893</v>
      </c>
      <c r="F62" s="19">
        <v>4.87265893E8</v>
      </c>
    </row>
    <row r="63">
      <c r="B63" s="4" t="str">
        <f>'Аркуш11'!C63&amp;" "&amp;'Аркуш11'!D63&amp;" "&amp;'Аркуш11'!E63</f>
        <v>Тихончук Максим Русланович</v>
      </c>
      <c r="C63" s="27" t="str">
        <f>'Аркуш11'!K63</f>
        <v>0-37-97</v>
      </c>
      <c r="D63" s="2" t="s">
        <v>196</v>
      </c>
      <c r="E63" s="18" t="str">
        <f t="shared" si="1"/>
        <v>0480-37-97</v>
      </c>
      <c r="F63" s="19" t="s">
        <v>230</v>
      </c>
    </row>
    <row r="64">
      <c r="B64" s="4" t="str">
        <f>'Аркуш11'!C64&amp;" "&amp;'Аркуш11'!D64&amp;" "&amp;'Аркуш11'!E64</f>
        <v>Чигидина  Марина Викторовна </v>
      </c>
      <c r="C64" s="27" t="str">
        <f>'Аркуш11'!K64</f>
        <v>7741071</v>
      </c>
      <c r="D64" s="2">
        <v>7741071.0</v>
      </c>
      <c r="E64" s="18" t="str">
        <f t="shared" si="1"/>
        <v>0487741071</v>
      </c>
      <c r="F64" s="19">
        <v>4.87741071E8</v>
      </c>
    </row>
    <row r="65">
      <c r="B65" s="4" t="str">
        <f>'Аркуш11'!C65&amp;" "&amp;'Аркуш11'!D65&amp;" "&amp;'Аркуш11'!E65</f>
        <v>Новикова Емилия Валерьевна </v>
      </c>
      <c r="C65" s="27" t="str">
        <f>'Аркуш11'!K65</f>
        <v>4862743</v>
      </c>
      <c r="D65" s="2">
        <v>4862743.0</v>
      </c>
      <c r="E65" s="18" t="str">
        <f t="shared" si="1"/>
        <v>0484862743</v>
      </c>
      <c r="F65" s="19">
        <v>4.84862743E8</v>
      </c>
    </row>
    <row r="66">
      <c r="B66" s="4" t="str">
        <f>'Аркуш11'!C66&amp;" "&amp;'Аркуш11'!D66&amp;" "&amp;'Аркуш11'!E66</f>
        <v>Яворская Анна Борисовна</v>
      </c>
      <c r="C66" s="27" t="str">
        <f>'Аркуш11'!K66</f>
        <v>2839081</v>
      </c>
      <c r="D66" s="2">
        <v>2839081.0</v>
      </c>
      <c r="E66" s="18" t="str">
        <f t="shared" si="1"/>
        <v>0482839081</v>
      </c>
      <c r="F66" s="19">
        <v>4.82839081E8</v>
      </c>
    </row>
    <row r="67">
      <c r="B67" s="4" t="str">
        <f>'Аркуш11'!C67&amp;" "&amp;'Аркуш11'!D67&amp;" "&amp;'Аркуш11'!E67</f>
        <v>Герасимчук Татьяна Викторовна</v>
      </c>
      <c r="C67" s="27" t="str">
        <f>'Аркуш11'!K67</f>
        <v>4810370</v>
      </c>
      <c r="D67" s="2">
        <v>4810370.0</v>
      </c>
      <c r="E67" s="18" t="str">
        <f t="shared" si="1"/>
        <v>0484810370</v>
      </c>
      <c r="F67" s="19">
        <v>4.8481037E8</v>
      </c>
    </row>
    <row r="68">
      <c r="B68" s="4" t="str">
        <f>'Аркуш11'!C68&amp;" "&amp;'Аркуш11'!D68&amp;" "&amp;'Аркуш11'!E68</f>
        <v>Костинюк Наташа Константиновна </v>
      </c>
      <c r="C68" s="27" t="str">
        <f>'Аркуш11'!K68</f>
        <v>1228090</v>
      </c>
      <c r="D68" s="2">
        <v>1228090.0</v>
      </c>
      <c r="E68" s="18" t="str">
        <f t="shared" si="1"/>
        <v>0481228090</v>
      </c>
      <c r="F68" s="19">
        <v>4.8122809E8</v>
      </c>
    </row>
    <row r="69">
      <c r="B69" s="4" t="str">
        <f>'Аркуш11'!C69&amp;" "&amp;'Аркуш11'!D69&amp;" "&amp;'Аркуш11'!E69</f>
        <v>Костинюк Наташа Константиновна </v>
      </c>
      <c r="C69" s="27" t="str">
        <f>'Аркуш11'!K69</f>
        <v>1228090</v>
      </c>
      <c r="D69" s="2">
        <v>1228090.0</v>
      </c>
      <c r="E69" s="18" t="str">
        <f t="shared" si="1"/>
        <v>0481228090</v>
      </c>
      <c r="F69" s="19">
        <v>4.8122809E8</v>
      </c>
    </row>
    <row r="70">
      <c r="B70" s="4" t="str">
        <f>'Аркуш11'!C70&amp;" "&amp;'Аркуш11'!D70&amp;" "&amp;'Аркуш11'!E70</f>
        <v>Костинюк  Наталья  Константиновна </v>
      </c>
      <c r="C70" s="27" t="str">
        <f>'Аркуш11'!K70</f>
        <v>1228090</v>
      </c>
      <c r="D70" s="2">
        <v>1228090.0</v>
      </c>
      <c r="E70" s="18" t="str">
        <f t="shared" si="1"/>
        <v>0481228090</v>
      </c>
      <c r="F70" s="19">
        <v>4.8122809E8</v>
      </c>
    </row>
    <row r="71">
      <c r="B71" s="4" t="str">
        <f>'Аркуш11'!C71&amp;" "&amp;'Аркуш11'!D71&amp;" "&amp;'Аркуш11'!E71</f>
        <v>Заганич Константин Владимирович</v>
      </c>
      <c r="C71" s="27" t="str">
        <f>'Аркуш11'!K71</f>
        <v>9131074</v>
      </c>
      <c r="D71" s="2">
        <v>9131074.0</v>
      </c>
      <c r="E71" s="18" t="str">
        <f t="shared" si="1"/>
        <v>0489131074</v>
      </c>
      <c r="F71" s="19">
        <v>4.89131074E8</v>
      </c>
    </row>
    <row r="72">
      <c r="B72" s="4" t="str">
        <f>'Аркуш11'!C72&amp;" "&amp;'Аркуш11'!D72&amp;" "&amp;'Аркуш11'!E72</f>
        <v>Никитенко  Артур  Алексеевич</v>
      </c>
      <c r="C72" s="27" t="str">
        <f>'Аркуш11'!K72</f>
        <v>2353219</v>
      </c>
      <c r="D72" s="2">
        <v>2353219.0</v>
      </c>
      <c r="E72" s="18" t="str">
        <f t="shared" si="1"/>
        <v>0482353219</v>
      </c>
      <c r="F72" s="19">
        <v>4.82353219E8</v>
      </c>
    </row>
    <row r="73">
      <c r="B73" s="4" t="str">
        <f>'Аркуш11'!C73&amp;" "&amp;'Аркуш11'!D73&amp;" "&amp;'Аркуш11'!E73</f>
        <v>Костинюк  Наталья  Константиновна </v>
      </c>
      <c r="C73" s="27" t="str">
        <f>'Аркуш11'!K73</f>
        <v>1228090</v>
      </c>
      <c r="D73" s="2">
        <v>1228090.0</v>
      </c>
      <c r="E73" s="18" t="str">
        <f t="shared" si="1"/>
        <v>0481228090</v>
      </c>
      <c r="F73" s="19">
        <v>4.8122809E8</v>
      </c>
    </row>
    <row r="74">
      <c r="B74" s="4" t="str">
        <f>'Аркуш11'!C74&amp;" "&amp;'Аркуш11'!D74&amp;" "&amp;'Аркуш11'!E74</f>
        <v>Нафтулович Максим Михайлович</v>
      </c>
      <c r="C74" s="27" t="str">
        <f>'Аркуш11'!K74</f>
        <v>8897706</v>
      </c>
      <c r="D74" s="2">
        <v>8897706.0</v>
      </c>
      <c r="E74" s="18" t="str">
        <f t="shared" si="1"/>
        <v>0488897706</v>
      </c>
      <c r="F74" s="19">
        <v>4.88897706E8</v>
      </c>
    </row>
    <row r="75">
      <c r="B75" s="4" t="str">
        <f>'Аркуш11'!C75&amp;" "&amp;'Аркуш11'!D75&amp;" "&amp;'Аркуш11'!E75</f>
        <v>Нафтулович Константин Михайлович</v>
      </c>
      <c r="C75" s="27" t="str">
        <f>'Аркуш11'!K75</f>
        <v>6512497</v>
      </c>
      <c r="D75" s="2">
        <v>6512497.0</v>
      </c>
      <c r="E75" s="18" t="str">
        <f t="shared" si="1"/>
        <v>0486512497</v>
      </c>
      <c r="F75" s="19">
        <v>4.86512497E8</v>
      </c>
    </row>
    <row r="76">
      <c r="B76" s="4" t="str">
        <f>'Аркуш11'!C76&amp;" "&amp;'Аркуш11'!D76&amp;" "&amp;'Аркуш11'!E76</f>
        <v>Шмаленко Влада Радионовна </v>
      </c>
      <c r="C76" s="27" t="str">
        <f>'Аркуш11'!K76</f>
        <v>9643483</v>
      </c>
      <c r="D76" s="2">
        <v>9643483.0</v>
      </c>
      <c r="E76" s="18" t="str">
        <f t="shared" si="1"/>
        <v>0489643483</v>
      </c>
      <c r="F76" s="19">
        <v>4.89643483E8</v>
      </c>
    </row>
    <row r="77">
      <c r="B77" s="4" t="str">
        <f>'Аркуш11'!C77&amp;" "&amp;'Аркуш11'!D77&amp;" "&amp;'Аркуш11'!E77</f>
        <v>Цветок Екатерина Александровна</v>
      </c>
      <c r="C77" s="27" t="str">
        <f>'Аркуш11'!K77</f>
        <v>9790701</v>
      </c>
      <c r="D77" s="2">
        <v>9790701.0</v>
      </c>
      <c r="E77" s="18" t="str">
        <f t="shared" si="1"/>
        <v>0489790701</v>
      </c>
      <c r="F77" s="19">
        <v>4.89790701E8</v>
      </c>
    </row>
    <row r="78">
      <c r="B78" s="4" t="str">
        <f>'Аркуш11'!C78&amp;" "&amp;'Аркуш11'!D78&amp;" "&amp;'Аркуш11'!E78</f>
        <v>Раділов Олексій Іванович</v>
      </c>
      <c r="C78" s="27" t="str">
        <f>'Аркуш11'!K78</f>
        <v>2280502</v>
      </c>
      <c r="D78" s="2">
        <v>2280502.0</v>
      </c>
      <c r="E78" s="18" t="str">
        <f t="shared" si="1"/>
        <v>0482280502</v>
      </c>
      <c r="F78" s="19">
        <v>4.82280502E8</v>
      </c>
    </row>
    <row r="79">
      <c r="B79" s="4" t="str">
        <f>'Аркуш11'!C79&amp;" "&amp;'Аркуш11'!D79&amp;" "&amp;'Аркуш11'!E79</f>
        <v>Казарян Лаура Артуровна</v>
      </c>
      <c r="C79" s="27" t="str">
        <f>'Аркуш11'!K79</f>
        <v>3751882</v>
      </c>
      <c r="D79" s="2">
        <v>3751882.0</v>
      </c>
      <c r="E79" s="18" t="str">
        <f t="shared" si="1"/>
        <v>0483751882</v>
      </c>
      <c r="F79" s="19">
        <v>4.83751882E8</v>
      </c>
    </row>
    <row r="80">
      <c r="B80" s="4" t="str">
        <f>'Аркуш11'!C80&amp;" "&amp;'Аркуш11'!D80&amp;" "&amp;'Аркуш11'!E80</f>
        <v>Хадри Дана Бушр</v>
      </c>
      <c r="C80" s="27" t="str">
        <f>'Аркуш11'!K80</f>
        <v>0494590</v>
      </c>
      <c r="D80" s="2">
        <v>494590.0</v>
      </c>
      <c r="E80" s="18" t="str">
        <f t="shared" si="1"/>
        <v>0482494590</v>
      </c>
      <c r="F80" s="19">
        <v>4.8249459E8</v>
      </c>
    </row>
    <row r="81">
      <c r="B81" s="4" t="str">
        <f>'Аркуш11'!C81&amp;" "&amp;'Аркуш11'!D81&amp;" "&amp;'Аркуш11'!E81</f>
        <v>Хадри Дана Бушр</v>
      </c>
      <c r="C81" s="27" t="str">
        <f>'Аркуш11'!K81</f>
        <v>0494590</v>
      </c>
      <c r="D81" s="2">
        <v>494590.0</v>
      </c>
      <c r="E81" s="18" t="str">
        <f t="shared" si="1"/>
        <v>0482494590</v>
      </c>
      <c r="F81" s="19">
        <v>4.8249459E8</v>
      </c>
    </row>
    <row r="82">
      <c r="B82" s="4" t="str">
        <f>'Аркуш11'!C82&amp;" "&amp;'Аркуш11'!D82&amp;" "&amp;'Аркуш11'!E82</f>
        <v>Хадри Дана Бушр</v>
      </c>
      <c r="C82" s="27" t="str">
        <f>'Аркуш11'!K82</f>
        <v>0494590</v>
      </c>
      <c r="D82" s="2">
        <v>494590.0</v>
      </c>
      <c r="E82" s="18" t="str">
        <f t="shared" si="1"/>
        <v>0482494590</v>
      </c>
      <c r="F82" s="19">
        <v>4.8249459E8</v>
      </c>
    </row>
    <row r="83">
      <c r="B83" s="4" t="str">
        <f>'Аркуш11'!C83&amp;" "&amp;'Аркуш11'!D83&amp;" "&amp;'Аркуш11'!E83</f>
        <v>Прокоп Артём Сергеевич</v>
      </c>
      <c r="C83" s="27" t="str">
        <f>'Аркуш11'!K83</f>
        <v>9494201</v>
      </c>
      <c r="D83" s="2">
        <v>9494201.0</v>
      </c>
      <c r="E83" s="18" t="str">
        <f t="shared" si="1"/>
        <v>0489494201</v>
      </c>
      <c r="F83" s="19">
        <v>4.89494201E8</v>
      </c>
    </row>
    <row r="84">
      <c r="B84" s="4" t="str">
        <f>'Аркуш11'!C84&amp;" "&amp;'Аркуш11'!D84&amp;" "&amp;'Аркуш11'!E84</f>
        <v>Харченко  Герман  Вадимович</v>
      </c>
      <c r="C84" s="27" t="str">
        <f>'Аркуш11'!K84</f>
        <v>4154059</v>
      </c>
      <c r="D84" s="2">
        <v>4154059.0</v>
      </c>
      <c r="E84" s="18" t="str">
        <f t="shared" si="1"/>
        <v>0484154059</v>
      </c>
      <c r="F84" s="19">
        <v>4.84154059E8</v>
      </c>
    </row>
    <row r="85">
      <c r="B85" s="4" t="str">
        <f>'Аркуш11'!C85&amp;" "&amp;'Аркуш11'!D85&amp;" "&amp;'Аркуш11'!E85</f>
        <v>Харламов-Школяренко Александр Анатольевич</v>
      </c>
      <c r="C85" s="27" t="str">
        <f>'Аркуш11'!K85</f>
        <v>2710230</v>
      </c>
      <c r="D85" s="2">
        <v>2710230.0</v>
      </c>
      <c r="E85" s="18" t="str">
        <f t="shared" si="1"/>
        <v>0482710230</v>
      </c>
      <c r="F85" s="19">
        <v>4.8271023E8</v>
      </c>
    </row>
    <row r="86">
      <c r="B86" s="4" t="str">
        <f>'Аркуш11'!C86&amp;" "&amp;'Аркуш11'!D86&amp;" "&amp;'Аркуш11'!E86</f>
        <v>Сулима  Александр  Валентинович</v>
      </c>
      <c r="C86" s="27" t="str">
        <f>'Аркуш11'!K86</f>
        <v>3160577</v>
      </c>
      <c r="D86" s="2">
        <v>3160577.0</v>
      </c>
      <c r="E86" s="18" t="str">
        <f t="shared" si="1"/>
        <v>0483160577</v>
      </c>
      <c r="F86" s="19">
        <v>4.83160577E8</v>
      </c>
    </row>
    <row r="87">
      <c r="B87" s="4" t="str">
        <f>'Аркуш11'!C87&amp;" "&amp;'Аркуш11'!D87&amp;" "&amp;'Аркуш11'!E87</f>
        <v>Македонская Влада Александровна</v>
      </c>
      <c r="C87" s="27" t="str">
        <f>'Аркуш11'!K87</f>
        <v>4902410</v>
      </c>
      <c r="D87" s="2">
        <v>4902410.0</v>
      </c>
      <c r="E87" s="18" t="str">
        <f t="shared" si="1"/>
        <v>0484902410</v>
      </c>
      <c r="F87" s="19">
        <v>4.8490241E8</v>
      </c>
    </row>
    <row r="88">
      <c r="B88" s="4" t="str">
        <f>'Аркуш11'!C88&amp;" "&amp;'Аркуш11'!D88&amp;" "&amp;'Аркуш11'!E88</f>
        <v>Котенёв Егор Андреевич</v>
      </c>
      <c r="C88" s="27" t="str">
        <f>'Аркуш11'!K88</f>
        <v>6381157</v>
      </c>
      <c r="D88" s="2">
        <v>6381157.0</v>
      </c>
      <c r="E88" s="18" t="str">
        <f t="shared" si="1"/>
        <v>0486381157</v>
      </c>
      <c r="F88" s="19">
        <v>4.86381157E8</v>
      </c>
    </row>
    <row r="89">
      <c r="B89" s="4" t="str">
        <f>'Аркуш11'!C89&amp;" "&amp;'Аркуш11'!D89&amp;" "&amp;'Аркуш11'!E89</f>
        <v>Щур Александр Вячеславович</v>
      </c>
      <c r="C89" s="27" t="str">
        <f>'Аркуш11'!K89</f>
        <v>4850341</v>
      </c>
      <c r="D89" s="2">
        <v>4850341.0</v>
      </c>
      <c r="E89" s="18" t="str">
        <f t="shared" si="1"/>
        <v>0484850341</v>
      </c>
      <c r="F89" s="19">
        <v>4.84850341E8</v>
      </c>
    </row>
    <row r="90">
      <c r="B90" s="4" t="str">
        <f>'Аркуш11'!C90&amp;" "&amp;'Аркуш11'!D90&amp;" "&amp;'Аркуш11'!E90</f>
        <v>Жажин Даниил Алексеевич</v>
      </c>
      <c r="C90" s="27" t="str">
        <f>'Аркуш11'!K90</f>
        <v>1461917</v>
      </c>
      <c r="D90" s="2">
        <v>1461917.0</v>
      </c>
      <c r="E90" s="18" t="str">
        <f t="shared" si="1"/>
        <v>0481461917</v>
      </c>
      <c r="F90" s="19">
        <v>4.81461917E8</v>
      </c>
    </row>
    <row r="91">
      <c r="B91" s="4" t="str">
        <f>'Аркуш11'!C91&amp;" "&amp;'Аркуш11'!D91&amp;" "&amp;'Аркуш11'!E91</f>
        <v>Жажин Даниил Алексеевич</v>
      </c>
      <c r="C91" s="27" t="str">
        <f>'Аркуш11'!K91</f>
        <v>1461917</v>
      </c>
      <c r="D91" s="2">
        <v>1461917.0</v>
      </c>
      <c r="E91" s="18" t="str">
        <f t="shared" si="1"/>
        <v>0481461917</v>
      </c>
      <c r="F91" s="19">
        <v>4.81461917E8</v>
      </c>
    </row>
    <row r="92">
      <c r="B92" s="4" t="str">
        <f>'Аркуш11'!C92&amp;" "&amp;'Аркуш11'!D92&amp;" "&amp;'Аркуш11'!E92</f>
        <v>Мармалюк Олександр Валерійович</v>
      </c>
      <c r="C92" s="27" t="str">
        <f>'Аркуш11'!K92</f>
        <v>6516640</v>
      </c>
      <c r="D92" s="2">
        <v>6516640.0</v>
      </c>
      <c r="E92" s="18" t="str">
        <f t="shared" si="1"/>
        <v>0486516640</v>
      </c>
      <c r="F92" s="19">
        <v>4.8651664E8</v>
      </c>
    </row>
    <row r="93">
      <c r="B93" s="4" t="str">
        <f>'Аркуш11'!C93&amp;" "&amp;'Аркуш11'!D93&amp;" "&amp;'Аркуш11'!E93</f>
        <v>Балабан Александр Николаевич</v>
      </c>
      <c r="C93" s="27" t="str">
        <f>'Аркуш11'!K93</f>
        <v>5075418</v>
      </c>
      <c r="D93" s="2">
        <v>5075418.0</v>
      </c>
      <c r="E93" s="18" t="str">
        <f t="shared" si="1"/>
        <v>0485075418</v>
      </c>
      <c r="F93" s="19">
        <v>4.85075418E8</v>
      </c>
    </row>
    <row r="94">
      <c r="B94" s="4" t="str">
        <f>'Аркуш11'!C94&amp;" "&amp;'Аркуш11'!D94&amp;" "&amp;'Аркуш11'!E94</f>
        <v>Кича Владимир Алексеевич</v>
      </c>
      <c r="C94" s="27" t="str">
        <f>'Аркуш11'!K94</f>
        <v>5299201</v>
      </c>
      <c r="D94" s="2">
        <v>5299201.0</v>
      </c>
      <c r="E94" s="18" t="str">
        <f t="shared" si="1"/>
        <v>0485299201</v>
      </c>
      <c r="F94" s="19">
        <v>4.85299201E8</v>
      </c>
    </row>
    <row r="95">
      <c r="B95" s="4" t="str">
        <f>'Аркуш11'!C95&amp;" "&amp;'Аркуш11'!D95&amp;" "&amp;'Аркуш11'!E95</f>
        <v>Яроцкая Дарья Сергеевна</v>
      </c>
      <c r="C95" s="27" t="str">
        <f>'Аркуш11'!K95</f>
        <v>0023504</v>
      </c>
      <c r="D95" s="2">
        <v>23504.0</v>
      </c>
      <c r="E95" s="18" t="str">
        <f t="shared" si="1"/>
        <v>#N/A</v>
      </c>
      <c r="F95" s="19" t="e">
        <v>#N/A</v>
      </c>
    </row>
    <row r="96">
      <c r="B96" s="4" t="str">
        <f>'Аркуш11'!C96&amp;" "&amp;'Аркуш11'!D96&amp;" "&amp;'Аркуш11'!E96</f>
        <v>Романцова Екатерина Юрьевна</v>
      </c>
      <c r="C96" s="27" t="str">
        <f>'Аркуш11'!K96</f>
        <v>8541298</v>
      </c>
      <c r="D96" s="2">
        <v>8541298.0</v>
      </c>
      <c r="E96" s="18" t="str">
        <f t="shared" si="1"/>
        <v>0488541298</v>
      </c>
      <c r="F96" s="19">
        <v>4.88541298E8</v>
      </c>
    </row>
    <row r="97">
      <c r="B97" s="4" t="str">
        <f>'Аркуш11'!C97&amp;" "&amp;'Аркуш11'!D97&amp;" "&amp;'Аркуш11'!E97</f>
        <v>Арсеньев  Максим Миколайович</v>
      </c>
      <c r="C97" s="27" t="str">
        <f>'Аркуш11'!K97</f>
        <v>6099308</v>
      </c>
      <c r="D97" s="2">
        <v>6099308.0</v>
      </c>
      <c r="E97" s="18" t="str">
        <f t="shared" si="1"/>
        <v>0486099308</v>
      </c>
      <c r="F97" s="19">
        <v>4.86099308E8</v>
      </c>
    </row>
    <row r="98">
      <c r="B98" s="4" t="str">
        <f>'Аркуш11'!C98&amp;" "&amp;'Аркуш11'!D98&amp;" "&amp;'Аркуш11'!E98</f>
        <v>Шиндер Михаил Ильич</v>
      </c>
      <c r="C98" s="27" t="str">
        <f>'Аркуш11'!K98</f>
        <v>2713602</v>
      </c>
      <c r="D98" s="2">
        <v>2713602.0</v>
      </c>
      <c r="E98" s="18" t="str">
        <f t="shared" si="1"/>
        <v>0482713602</v>
      </c>
      <c r="F98" s="19">
        <v>4.82713602E8</v>
      </c>
    </row>
    <row r="99">
      <c r="B99" s="4" t="str">
        <f>'Аркуш11'!C99&amp;" "&amp;'Аркуш11'!D99&amp;" "&amp;'Аркуш11'!E99</f>
        <v>Мартын Екатерина Сергеевна</v>
      </c>
      <c r="C99" s="27" t="str">
        <f>'Аркуш11'!K99</f>
        <v>3956665</v>
      </c>
      <c r="D99" s="2">
        <v>3956665.0</v>
      </c>
      <c r="E99" s="18" t="str">
        <f t="shared" si="1"/>
        <v>0483956665</v>
      </c>
      <c r="F99" s="19">
        <v>4.83956665E8</v>
      </c>
    </row>
    <row r="100">
      <c r="B100" s="4" t="str">
        <f>'Аркуш11'!C100&amp;" "&amp;'Аркуш11'!D100&amp;" "&amp;'Аркуш11'!E100</f>
        <v>Хоробрых Нина Евгениевна</v>
      </c>
      <c r="C100" s="27" t="str">
        <f>'Аркуш11'!K100</f>
        <v>5001790</v>
      </c>
      <c r="D100" s="2">
        <v>5001790.0</v>
      </c>
      <c r="E100" s="18" t="str">
        <f t="shared" si="1"/>
        <v>0485001790</v>
      </c>
      <c r="F100" s="19">
        <v>4.8500179E8</v>
      </c>
    </row>
    <row r="101">
      <c r="B101" s="4" t="str">
        <f>'Аркуш11'!C101&amp;" "&amp;'Аркуш11'!D101&amp;" "&amp;'Аркуш11'!E101</f>
        <v>Бондарчук Константин Николаевич</v>
      </c>
      <c r="C101" s="27" t="str">
        <f>'Аркуш11'!K101</f>
        <v>5-99-02</v>
      </c>
      <c r="D101" s="2" t="s">
        <v>253</v>
      </c>
      <c r="E101" s="18" t="str">
        <f t="shared" si="1"/>
        <v>0485-99-02</v>
      </c>
      <c r="F101" s="19" t="s">
        <v>276</v>
      </c>
    </row>
    <row r="102">
      <c r="B102" s="4" t="str">
        <f>'Аркуш11'!C102&amp;" "&amp;'Аркуш11'!D102&amp;" "&amp;'Аркуш11'!E102</f>
        <v>Кокин  Виталий Витальевич </v>
      </c>
      <c r="C102" s="27" t="str">
        <f>'Аркуш11'!K102</f>
        <v>6463984</v>
      </c>
      <c r="D102" s="2">
        <v>6463984.0</v>
      </c>
      <c r="E102" s="18" t="str">
        <f t="shared" si="1"/>
        <v>0486463984</v>
      </c>
      <c r="F102" s="19">
        <v>4.86463984E8</v>
      </c>
    </row>
    <row r="103">
      <c r="B103" s="4" t="str">
        <f>'Аркуш11'!C103&amp;" "&amp;'Аркуш11'!D103&amp;" "&amp;'Аркуш11'!E103</f>
        <v>Канивец  Андрей Андреевич</v>
      </c>
      <c r="C103" s="27" t="str">
        <f>'Аркуш11'!K103</f>
        <v>3131789</v>
      </c>
      <c r="D103" s="2">
        <v>3131789.0</v>
      </c>
      <c r="E103" s="18" t="str">
        <f t="shared" si="1"/>
        <v>0483131789</v>
      </c>
      <c r="F103" s="19">
        <v>4.83131789E8</v>
      </c>
    </row>
    <row r="104">
      <c r="B104" s="4" t="str">
        <f>'Аркуш11'!C104&amp;" "&amp;'Аркуш11'!D104&amp;" "&amp;'Аркуш11'!E104</f>
        <v>Климко  Анастасия  Юрьевна</v>
      </c>
      <c r="C104" s="27" t="str">
        <f>'Аркуш11'!K104</f>
        <v>1466009</v>
      </c>
      <c r="D104" s="2">
        <v>1466009.0</v>
      </c>
      <c r="E104" s="18" t="str">
        <f t="shared" si="1"/>
        <v>0481466009</v>
      </c>
      <c r="F104" s="19">
        <v>4.81466009E8</v>
      </c>
    </row>
    <row r="105">
      <c r="B105" s="4" t="str">
        <f>'Аркуш11'!C105&amp;" "&amp;'Аркуш11'!D105&amp;" "&amp;'Аркуш11'!E105</f>
        <v>Исаков Богдан </v>
      </c>
      <c r="C105" s="27" t="str">
        <f>'Аркуш11'!K105</f>
        <v/>
      </c>
      <c r="E105" s="18"/>
      <c r="F105" s="19"/>
    </row>
    <row r="106">
      <c r="B106" s="4" t="str">
        <f>'Аркуш11'!C106&amp;" "&amp;'Аркуш11'!D106&amp;" "&amp;'Аркуш11'!E106</f>
        <v>  </v>
      </c>
      <c r="C106" s="24"/>
      <c r="E106" s="18"/>
      <c r="F106" s="19"/>
    </row>
    <row r="107">
      <c r="C107" s="24"/>
      <c r="E107" s="18"/>
      <c r="F107" s="19"/>
    </row>
    <row r="108">
      <c r="C108" s="24"/>
      <c r="E108" s="18"/>
      <c r="F108" s="19"/>
    </row>
    <row r="109">
      <c r="C109" s="24"/>
      <c r="E109" s="18"/>
      <c r="F109" s="19"/>
    </row>
    <row r="110">
      <c r="C110" s="24"/>
      <c r="E110" s="18"/>
      <c r="F110" s="19"/>
    </row>
    <row r="111">
      <c r="C111" s="24"/>
      <c r="E111" s="18"/>
      <c r="F111" s="19"/>
    </row>
    <row r="112">
      <c r="C112" s="24"/>
      <c r="E112" s="18"/>
      <c r="F112" s="19"/>
    </row>
    <row r="113">
      <c r="C113" s="24"/>
      <c r="E113" s="18"/>
      <c r="F113" s="19"/>
    </row>
    <row r="114">
      <c r="C114" s="24"/>
      <c r="E114" s="18"/>
      <c r="F114" s="19"/>
    </row>
    <row r="115">
      <c r="C115" s="24"/>
      <c r="E115" s="18"/>
      <c r="F115" s="19"/>
    </row>
    <row r="116">
      <c r="C116" s="24"/>
      <c r="E116" s="18"/>
      <c r="F116" s="19"/>
    </row>
    <row r="117">
      <c r="C117" s="24"/>
      <c r="E117" s="18"/>
      <c r="F117" s="19"/>
    </row>
    <row r="118">
      <c r="C118" s="24"/>
      <c r="E118" s="18"/>
      <c r="F118" s="19"/>
    </row>
    <row r="119">
      <c r="C119" s="24"/>
      <c r="E119" s="18"/>
      <c r="F119" s="19"/>
    </row>
    <row r="120">
      <c r="C120" s="24"/>
      <c r="E120" s="18"/>
      <c r="F120" s="19"/>
    </row>
    <row r="121">
      <c r="C121" s="24"/>
      <c r="E121" s="18"/>
      <c r="F121" s="19"/>
    </row>
    <row r="122">
      <c r="C122" s="24"/>
      <c r="E122" s="18"/>
      <c r="F122" s="19"/>
    </row>
    <row r="123">
      <c r="C123" s="24"/>
      <c r="E123" s="18"/>
      <c r="F123" s="19"/>
    </row>
    <row r="124">
      <c r="C124" s="24"/>
      <c r="E124" s="18"/>
      <c r="F124" s="19"/>
    </row>
    <row r="125">
      <c r="C125" s="24"/>
      <c r="E125" s="18"/>
      <c r="F125" s="19"/>
    </row>
    <row r="126">
      <c r="C126" s="24"/>
      <c r="E126" s="18"/>
      <c r="F126" s="19"/>
    </row>
    <row r="127">
      <c r="C127" s="24"/>
      <c r="E127" s="18"/>
      <c r="F127" s="19"/>
    </row>
    <row r="128">
      <c r="C128" s="24"/>
      <c r="E128" s="18"/>
      <c r="F128" s="19"/>
    </row>
    <row r="129">
      <c r="C129" s="24"/>
      <c r="E129" s="18"/>
      <c r="F129" s="19"/>
    </row>
    <row r="130">
      <c r="C130" s="24"/>
      <c r="E130" s="18"/>
      <c r="F130" s="19"/>
    </row>
    <row r="131">
      <c r="C131" s="24"/>
      <c r="E131" s="18"/>
      <c r="F131" s="19"/>
    </row>
    <row r="132">
      <c r="C132" s="24"/>
      <c r="E132" s="18"/>
      <c r="F132" s="19"/>
    </row>
    <row r="133">
      <c r="C133" s="24"/>
      <c r="E133" s="18"/>
      <c r="F133" s="19"/>
    </row>
    <row r="134">
      <c r="C134" s="24"/>
      <c r="E134" s="18"/>
      <c r="F134" s="19"/>
    </row>
    <row r="135">
      <c r="C135" s="24"/>
      <c r="E135" s="18"/>
      <c r="F135" s="19"/>
    </row>
    <row r="136">
      <c r="C136" s="24"/>
      <c r="E136" s="18"/>
      <c r="F136" s="19"/>
    </row>
    <row r="137">
      <c r="C137" s="24"/>
      <c r="E137" s="18"/>
      <c r="F137" s="19"/>
    </row>
    <row r="138">
      <c r="C138" s="24"/>
      <c r="E138" s="18"/>
      <c r="F138" s="19"/>
    </row>
    <row r="139">
      <c r="C139" s="24"/>
      <c r="E139" s="18"/>
      <c r="F139" s="19"/>
    </row>
    <row r="140">
      <c r="C140" s="24"/>
      <c r="E140" s="18"/>
      <c r="F140" s="19"/>
    </row>
    <row r="141">
      <c r="C141" s="24"/>
      <c r="E141" s="18"/>
      <c r="F141" s="19"/>
    </row>
    <row r="142">
      <c r="C142" s="24"/>
      <c r="E142" s="18"/>
      <c r="F142" s="19"/>
    </row>
    <row r="143">
      <c r="C143" s="24"/>
      <c r="E143" s="18"/>
      <c r="F143" s="19"/>
    </row>
    <row r="144">
      <c r="C144" s="24"/>
      <c r="E144" s="18"/>
      <c r="F144" s="19"/>
    </row>
    <row r="145">
      <c r="C145" s="24"/>
      <c r="E145" s="18"/>
      <c r="F145" s="19"/>
    </row>
    <row r="146">
      <c r="C146" s="24"/>
      <c r="E146" s="18"/>
      <c r="F146" s="19"/>
    </row>
    <row r="147">
      <c r="C147" s="24"/>
      <c r="E147" s="18"/>
      <c r="F147" s="19"/>
    </row>
    <row r="148">
      <c r="C148" s="24"/>
      <c r="E148" s="18"/>
      <c r="F148" s="19"/>
    </row>
    <row r="149">
      <c r="C149" s="24"/>
      <c r="E149" s="18"/>
      <c r="F149" s="19"/>
    </row>
    <row r="150">
      <c r="C150" s="24"/>
      <c r="E150" s="18"/>
      <c r="F150" s="19"/>
    </row>
    <row r="151">
      <c r="C151" s="24"/>
      <c r="E151" s="18"/>
      <c r="F151" s="19"/>
    </row>
    <row r="152">
      <c r="C152" s="24"/>
      <c r="E152" s="18"/>
      <c r="F152" s="19"/>
    </row>
    <row r="153">
      <c r="C153" s="24"/>
      <c r="E153" s="18"/>
      <c r="F153" s="19"/>
    </row>
    <row r="154">
      <c r="C154" s="24"/>
      <c r="E154" s="18"/>
      <c r="F154" s="19"/>
    </row>
    <row r="155">
      <c r="C155" s="24"/>
      <c r="E155" s="18"/>
      <c r="F155" s="19"/>
    </row>
    <row r="156">
      <c r="C156" s="24"/>
      <c r="E156" s="18"/>
      <c r="F156" s="19"/>
    </row>
    <row r="157">
      <c r="C157" s="24"/>
      <c r="E157" s="18"/>
      <c r="F157" s="19"/>
    </row>
    <row r="158">
      <c r="C158" s="24"/>
      <c r="E158" s="18"/>
      <c r="F158" s="19"/>
    </row>
    <row r="159">
      <c r="C159" s="24"/>
      <c r="E159" s="18"/>
      <c r="F159" s="19"/>
    </row>
    <row r="160">
      <c r="C160" s="24"/>
      <c r="E160" s="18"/>
      <c r="F160" s="19"/>
    </row>
    <row r="161">
      <c r="C161" s="24"/>
      <c r="E161" s="18"/>
      <c r="F161" s="19"/>
    </row>
    <row r="162">
      <c r="C162" s="24"/>
      <c r="E162" s="18"/>
      <c r="F162" s="19"/>
    </row>
    <row r="163">
      <c r="C163" s="24"/>
      <c r="E163" s="18"/>
      <c r="F163" s="19"/>
    </row>
    <row r="164">
      <c r="C164" s="24"/>
      <c r="E164" s="18"/>
      <c r="F164" s="19"/>
    </row>
    <row r="165">
      <c r="C165" s="24"/>
      <c r="E165" s="18"/>
      <c r="F165" s="19"/>
    </row>
    <row r="166">
      <c r="C166" s="24"/>
      <c r="E166" s="18"/>
      <c r="F166" s="19"/>
    </row>
    <row r="167">
      <c r="C167" s="24"/>
      <c r="E167" s="18"/>
      <c r="F167" s="19"/>
    </row>
    <row r="168">
      <c r="C168" s="24"/>
      <c r="E168" s="18"/>
      <c r="F168" s="19"/>
    </row>
    <row r="169">
      <c r="C169" s="24"/>
      <c r="E169" s="18"/>
      <c r="F169" s="19"/>
    </row>
    <row r="170">
      <c r="C170" s="24"/>
      <c r="E170" s="18"/>
      <c r="F170" s="19"/>
    </row>
    <row r="171">
      <c r="C171" s="24"/>
      <c r="E171" s="18"/>
      <c r="F171" s="19"/>
    </row>
    <row r="172">
      <c r="C172" s="24"/>
      <c r="E172" s="18"/>
      <c r="F172" s="19"/>
    </row>
    <row r="173">
      <c r="C173" s="24"/>
      <c r="E173" s="18"/>
      <c r="F173" s="19"/>
    </row>
    <row r="174">
      <c r="C174" s="24"/>
      <c r="E174" s="18"/>
      <c r="F174" s="19"/>
    </row>
    <row r="175">
      <c r="C175" s="24"/>
      <c r="E175" s="18"/>
      <c r="F175" s="19"/>
    </row>
    <row r="176">
      <c r="C176" s="24"/>
      <c r="E176" s="18"/>
      <c r="F176" s="19"/>
    </row>
    <row r="177">
      <c r="C177" s="24"/>
      <c r="E177" s="18"/>
      <c r="F177" s="19"/>
    </row>
    <row r="178">
      <c r="C178" s="24"/>
      <c r="E178" s="18"/>
      <c r="F178" s="19"/>
    </row>
    <row r="179">
      <c r="C179" s="24"/>
      <c r="E179" s="18"/>
      <c r="F179" s="19"/>
    </row>
    <row r="180">
      <c r="C180" s="24"/>
      <c r="E180" s="18"/>
      <c r="F180" s="19"/>
    </row>
    <row r="181">
      <c r="C181" s="24"/>
      <c r="E181" s="18"/>
      <c r="F181" s="19"/>
    </row>
    <row r="182">
      <c r="C182" s="24"/>
      <c r="E182" s="18"/>
      <c r="F182" s="19"/>
    </row>
    <row r="183">
      <c r="C183" s="24"/>
      <c r="E183" s="18"/>
      <c r="F183" s="19"/>
    </row>
    <row r="184">
      <c r="C184" s="24"/>
      <c r="E184" s="18"/>
      <c r="F184" s="19"/>
    </row>
    <row r="185">
      <c r="C185" s="24"/>
      <c r="E185" s="18"/>
      <c r="F185" s="19"/>
    </row>
    <row r="186">
      <c r="C186" s="24"/>
      <c r="E186" s="18"/>
      <c r="F186" s="19"/>
    </row>
    <row r="187">
      <c r="C187" s="24"/>
      <c r="E187" s="18"/>
      <c r="F187" s="19"/>
    </row>
    <row r="188">
      <c r="C188" s="24"/>
      <c r="E188" s="18"/>
      <c r="F188" s="19"/>
    </row>
    <row r="189">
      <c r="C189" s="24"/>
      <c r="E189" s="18"/>
      <c r="F189" s="19"/>
    </row>
    <row r="190">
      <c r="C190" s="24"/>
      <c r="E190" s="18"/>
      <c r="F190" s="19"/>
    </row>
    <row r="191">
      <c r="C191" s="24"/>
      <c r="E191" s="18"/>
      <c r="F191" s="19"/>
    </row>
    <row r="192">
      <c r="C192" s="24"/>
      <c r="E192" s="18"/>
      <c r="F192" s="19"/>
    </row>
    <row r="193">
      <c r="C193" s="24"/>
      <c r="E193" s="18"/>
      <c r="F193" s="19"/>
    </row>
    <row r="194">
      <c r="C194" s="24"/>
      <c r="E194" s="18"/>
      <c r="F194" s="19"/>
    </row>
    <row r="195">
      <c r="C195" s="24"/>
      <c r="E195" s="18"/>
      <c r="F195" s="19"/>
    </row>
    <row r="196">
      <c r="C196" s="24"/>
      <c r="E196" s="18"/>
      <c r="F196" s="19"/>
    </row>
    <row r="197">
      <c r="C197" s="24"/>
      <c r="E197" s="18"/>
      <c r="F197" s="19"/>
    </row>
    <row r="198">
      <c r="C198" s="24"/>
      <c r="E198" s="18"/>
      <c r="F198" s="19"/>
    </row>
    <row r="199">
      <c r="C199" s="24"/>
      <c r="E199" s="18"/>
      <c r="F199" s="19"/>
    </row>
    <row r="200">
      <c r="C200" s="24"/>
      <c r="E200" s="18"/>
      <c r="F200" s="19"/>
    </row>
    <row r="201">
      <c r="C201" s="24"/>
      <c r="E201" s="18"/>
      <c r="F201" s="19"/>
    </row>
    <row r="202">
      <c r="C202" s="24"/>
      <c r="E202" s="18"/>
      <c r="F202" s="19"/>
    </row>
    <row r="203">
      <c r="C203" s="24"/>
      <c r="E203" s="18"/>
      <c r="F203" s="19"/>
    </row>
    <row r="204">
      <c r="C204" s="24"/>
      <c r="E204" s="18"/>
      <c r="F204" s="19"/>
    </row>
    <row r="205">
      <c r="C205" s="24"/>
      <c r="E205" s="18"/>
      <c r="F205" s="19"/>
    </row>
    <row r="206">
      <c r="C206" s="24"/>
      <c r="E206" s="18"/>
      <c r="F206" s="19"/>
    </row>
    <row r="207">
      <c r="C207" s="24"/>
      <c r="E207" s="18"/>
      <c r="F207" s="19"/>
    </row>
    <row r="208">
      <c r="C208" s="24"/>
      <c r="E208" s="18"/>
      <c r="F208" s="19"/>
    </row>
    <row r="209">
      <c r="C209" s="24"/>
      <c r="E209" s="18"/>
      <c r="F209" s="19"/>
    </row>
    <row r="210">
      <c r="C210" s="24"/>
      <c r="E210" s="18"/>
      <c r="F210" s="19"/>
    </row>
    <row r="211">
      <c r="C211" s="24"/>
      <c r="E211" s="18"/>
      <c r="F211" s="19"/>
    </row>
    <row r="212">
      <c r="C212" s="24"/>
      <c r="E212" s="18"/>
      <c r="F212" s="19"/>
    </row>
    <row r="213">
      <c r="C213" s="24"/>
      <c r="E213" s="18"/>
      <c r="F213" s="19"/>
    </row>
    <row r="214">
      <c r="C214" s="24"/>
      <c r="E214" s="18"/>
      <c r="F214" s="19"/>
    </row>
    <row r="215">
      <c r="C215" s="24"/>
      <c r="E215" s="18"/>
      <c r="F215" s="19"/>
    </row>
    <row r="216">
      <c r="C216" s="24"/>
      <c r="E216" s="18"/>
      <c r="F216" s="19"/>
    </row>
    <row r="217">
      <c r="C217" s="24"/>
      <c r="E217" s="18"/>
      <c r="F217" s="19"/>
    </row>
    <row r="218">
      <c r="C218" s="24"/>
      <c r="E218" s="18"/>
      <c r="F218" s="19"/>
    </row>
    <row r="219">
      <c r="C219" s="24"/>
      <c r="E219" s="18"/>
      <c r="F219" s="19"/>
    </row>
    <row r="220">
      <c r="C220" s="24"/>
      <c r="E220" s="18"/>
      <c r="F220" s="19"/>
    </row>
    <row r="221">
      <c r="C221" s="24"/>
      <c r="E221" s="18"/>
      <c r="F221" s="19"/>
    </row>
    <row r="222">
      <c r="C222" s="24"/>
      <c r="E222" s="18"/>
      <c r="F222" s="19"/>
    </row>
    <row r="223">
      <c r="C223" s="24"/>
      <c r="E223" s="18"/>
      <c r="F223" s="19"/>
    </row>
    <row r="224">
      <c r="C224" s="24"/>
      <c r="E224" s="18"/>
      <c r="F224" s="19"/>
    </row>
    <row r="225">
      <c r="C225" s="24"/>
      <c r="E225" s="18"/>
      <c r="F225" s="19"/>
    </row>
    <row r="226">
      <c r="C226" s="24"/>
      <c r="E226" s="18"/>
      <c r="F226" s="19"/>
    </row>
    <row r="227">
      <c r="C227" s="24"/>
      <c r="E227" s="18"/>
      <c r="F227" s="19"/>
    </row>
    <row r="228">
      <c r="C228" s="24"/>
      <c r="E228" s="18"/>
      <c r="F228" s="19"/>
    </row>
    <row r="229">
      <c r="C229" s="24"/>
      <c r="E229" s="18"/>
      <c r="F229" s="19"/>
    </row>
    <row r="230">
      <c r="C230" s="24"/>
      <c r="E230" s="18"/>
      <c r="F230" s="19"/>
    </row>
    <row r="231">
      <c r="C231" s="24"/>
      <c r="E231" s="18"/>
      <c r="F231" s="19"/>
    </row>
    <row r="232">
      <c r="C232" s="24"/>
      <c r="E232" s="18"/>
      <c r="F232" s="19"/>
    </row>
    <row r="233">
      <c r="C233" s="24"/>
      <c r="E233" s="18"/>
      <c r="F233" s="19"/>
    </row>
    <row r="234">
      <c r="C234" s="24"/>
      <c r="E234" s="18"/>
      <c r="F234" s="19"/>
    </row>
    <row r="235">
      <c r="C235" s="24"/>
      <c r="E235" s="18"/>
      <c r="F235" s="19"/>
    </row>
    <row r="236">
      <c r="C236" s="24"/>
      <c r="E236" s="18"/>
      <c r="F236" s="19"/>
    </row>
    <row r="237">
      <c r="C237" s="24"/>
      <c r="E237" s="18"/>
      <c r="F237" s="19"/>
    </row>
    <row r="238">
      <c r="C238" s="24"/>
      <c r="E238" s="18"/>
      <c r="F238" s="19"/>
    </row>
    <row r="239">
      <c r="C239" s="24"/>
      <c r="E239" s="18"/>
      <c r="F239" s="19"/>
    </row>
    <row r="240">
      <c r="C240" s="24"/>
      <c r="E240" s="18"/>
      <c r="F240" s="19"/>
    </row>
    <row r="241">
      <c r="C241" s="24"/>
      <c r="E241" s="18"/>
      <c r="F241" s="19"/>
    </row>
    <row r="242">
      <c r="C242" s="24"/>
      <c r="E242" s="18"/>
      <c r="F242" s="19"/>
    </row>
    <row r="243">
      <c r="C243" s="24"/>
      <c r="E243" s="18"/>
      <c r="F243" s="19"/>
    </row>
    <row r="244">
      <c r="C244" s="24"/>
      <c r="E244" s="18"/>
      <c r="F244" s="19"/>
    </row>
    <row r="245">
      <c r="C245" s="24"/>
      <c r="E245" s="18"/>
      <c r="F245" s="19"/>
    </row>
    <row r="246">
      <c r="C246" s="24"/>
      <c r="E246" s="18"/>
      <c r="F246" s="19"/>
    </row>
    <row r="247">
      <c r="C247" s="24"/>
      <c r="E247" s="18"/>
      <c r="F247" s="19"/>
    </row>
    <row r="248">
      <c r="C248" s="24"/>
      <c r="E248" s="18"/>
      <c r="F248" s="19"/>
    </row>
    <row r="249">
      <c r="C249" s="24"/>
      <c r="E249" s="18"/>
      <c r="F249" s="19"/>
    </row>
    <row r="250">
      <c r="C250" s="24"/>
      <c r="E250" s="18"/>
      <c r="F250" s="19"/>
    </row>
    <row r="251">
      <c r="C251" s="24"/>
      <c r="E251" s="18"/>
      <c r="F251" s="19"/>
    </row>
    <row r="252">
      <c r="C252" s="24"/>
      <c r="E252" s="18"/>
      <c r="F252" s="19"/>
    </row>
    <row r="253">
      <c r="C253" s="24"/>
      <c r="E253" s="18"/>
      <c r="F253" s="19"/>
    </row>
    <row r="254">
      <c r="C254" s="24"/>
      <c r="E254" s="18"/>
      <c r="F254" s="19"/>
    </row>
    <row r="255">
      <c r="C255" s="24"/>
      <c r="E255" s="18"/>
      <c r="F255" s="19"/>
    </row>
    <row r="256">
      <c r="C256" s="24"/>
      <c r="E256" s="18"/>
      <c r="F256" s="19"/>
    </row>
    <row r="257">
      <c r="C257" s="24"/>
      <c r="E257" s="18"/>
      <c r="F257" s="19"/>
    </row>
    <row r="258">
      <c r="C258" s="24"/>
      <c r="E258" s="18"/>
      <c r="F258" s="19"/>
    </row>
    <row r="259">
      <c r="C259" s="24"/>
      <c r="E259" s="18"/>
      <c r="F259" s="19"/>
    </row>
    <row r="260">
      <c r="C260" s="24"/>
      <c r="E260" s="18"/>
      <c r="F260" s="19"/>
    </row>
    <row r="261">
      <c r="C261" s="24"/>
      <c r="E261" s="18"/>
      <c r="F261" s="19"/>
    </row>
    <row r="262">
      <c r="C262" s="24"/>
      <c r="E262" s="18"/>
      <c r="F262" s="19"/>
    </row>
    <row r="263">
      <c r="C263" s="24"/>
      <c r="E263" s="18"/>
      <c r="F263" s="19"/>
    </row>
    <row r="264">
      <c r="C264" s="24"/>
      <c r="E264" s="18"/>
      <c r="F264" s="19"/>
    </row>
    <row r="265">
      <c r="C265" s="24"/>
      <c r="E265" s="18"/>
      <c r="F265" s="19"/>
    </row>
    <row r="266">
      <c r="C266" s="24"/>
      <c r="E266" s="18"/>
      <c r="F266" s="19"/>
    </row>
    <row r="267">
      <c r="C267" s="24"/>
      <c r="E267" s="18"/>
      <c r="F267" s="19"/>
    </row>
    <row r="268">
      <c r="C268" s="24"/>
      <c r="E268" s="18"/>
      <c r="F268" s="19"/>
    </row>
    <row r="269">
      <c r="C269" s="24"/>
      <c r="E269" s="18"/>
      <c r="F269" s="19"/>
    </row>
    <row r="270">
      <c r="C270" s="24"/>
      <c r="E270" s="18"/>
      <c r="F270" s="19"/>
    </row>
    <row r="271">
      <c r="C271" s="24"/>
      <c r="E271" s="18"/>
      <c r="F271" s="19"/>
    </row>
    <row r="272">
      <c r="C272" s="24"/>
      <c r="E272" s="18"/>
      <c r="F272" s="19"/>
    </row>
    <row r="273">
      <c r="C273" s="24"/>
      <c r="E273" s="18"/>
      <c r="F273" s="19"/>
    </row>
    <row r="274">
      <c r="C274" s="24"/>
      <c r="E274" s="18"/>
      <c r="F274" s="19"/>
    </row>
    <row r="275">
      <c r="C275" s="24"/>
      <c r="E275" s="18"/>
      <c r="F275" s="19"/>
    </row>
    <row r="276">
      <c r="C276" s="24"/>
      <c r="E276" s="18"/>
      <c r="F276" s="19"/>
    </row>
    <row r="277">
      <c r="C277" s="24"/>
      <c r="E277" s="18"/>
      <c r="F277" s="19"/>
    </row>
    <row r="278">
      <c r="C278" s="24"/>
      <c r="E278" s="18"/>
      <c r="F278" s="19"/>
    </row>
    <row r="279">
      <c r="C279" s="24"/>
      <c r="E279" s="18"/>
      <c r="F279" s="19"/>
    </row>
    <row r="280">
      <c r="C280" s="24"/>
      <c r="E280" s="18"/>
      <c r="F280" s="19"/>
    </row>
    <row r="281">
      <c r="C281" s="24"/>
      <c r="E281" s="18"/>
      <c r="F281" s="19"/>
    </row>
    <row r="282">
      <c r="C282" s="24"/>
      <c r="E282" s="18"/>
      <c r="F282" s="19"/>
    </row>
    <row r="283">
      <c r="C283" s="24"/>
      <c r="E283" s="18"/>
      <c r="F283" s="19"/>
    </row>
    <row r="284">
      <c r="C284" s="24"/>
      <c r="E284" s="18"/>
      <c r="F284" s="19"/>
    </row>
    <row r="285">
      <c r="C285" s="24"/>
      <c r="E285" s="18"/>
      <c r="F285" s="19"/>
    </row>
    <row r="286">
      <c r="C286" s="24"/>
      <c r="E286" s="18"/>
      <c r="F286" s="19"/>
    </row>
    <row r="287">
      <c r="C287" s="24"/>
      <c r="E287" s="18"/>
      <c r="F287" s="19"/>
    </row>
    <row r="288">
      <c r="C288" s="24"/>
      <c r="E288" s="18"/>
      <c r="F288" s="19"/>
    </row>
    <row r="289">
      <c r="C289" s="24"/>
      <c r="E289" s="18"/>
      <c r="F289" s="19"/>
    </row>
    <row r="290">
      <c r="C290" s="24"/>
      <c r="E290" s="18"/>
      <c r="F290" s="19"/>
    </row>
    <row r="291">
      <c r="C291" s="24"/>
      <c r="E291" s="18"/>
      <c r="F291" s="19"/>
    </row>
    <row r="292">
      <c r="C292" s="24"/>
      <c r="E292" s="18"/>
      <c r="F292" s="19"/>
    </row>
    <row r="293">
      <c r="C293" s="24"/>
      <c r="E293" s="18"/>
      <c r="F293" s="19"/>
    </row>
    <row r="294">
      <c r="C294" s="24"/>
      <c r="E294" s="18"/>
      <c r="F294" s="19"/>
    </row>
    <row r="295">
      <c r="C295" s="24"/>
      <c r="E295" s="18"/>
      <c r="F295" s="19"/>
    </row>
    <row r="296">
      <c r="C296" s="24"/>
      <c r="E296" s="18"/>
      <c r="F296" s="19"/>
    </row>
    <row r="297">
      <c r="C297" s="24"/>
      <c r="E297" s="18"/>
      <c r="F297" s="19"/>
    </row>
    <row r="298">
      <c r="C298" s="24"/>
      <c r="E298" s="18"/>
      <c r="F298" s="19"/>
    </row>
    <row r="299">
      <c r="C299" s="24"/>
      <c r="E299" s="18"/>
      <c r="F299" s="19"/>
    </row>
    <row r="300">
      <c r="C300" s="24"/>
      <c r="E300" s="18"/>
      <c r="F300" s="19"/>
    </row>
    <row r="301">
      <c r="C301" s="24"/>
      <c r="E301" s="18"/>
      <c r="F301" s="19"/>
    </row>
    <row r="302">
      <c r="C302" s="24"/>
      <c r="E302" s="18"/>
      <c r="F302" s="19"/>
    </row>
    <row r="303">
      <c r="C303" s="24"/>
      <c r="E303" s="18"/>
      <c r="F303" s="19"/>
    </row>
    <row r="304">
      <c r="C304" s="24"/>
      <c r="E304" s="18"/>
      <c r="F304" s="19"/>
    </row>
    <row r="305">
      <c r="C305" s="24"/>
      <c r="E305" s="18"/>
      <c r="F305" s="19"/>
    </row>
    <row r="306">
      <c r="C306" s="24"/>
      <c r="E306" s="18"/>
      <c r="F306" s="19"/>
    </row>
    <row r="307">
      <c r="C307" s="24"/>
      <c r="E307" s="18"/>
      <c r="F307" s="19"/>
    </row>
    <row r="308">
      <c r="C308" s="24"/>
      <c r="E308" s="18"/>
      <c r="F308" s="19"/>
    </row>
    <row r="309">
      <c r="C309" s="24"/>
      <c r="E309" s="18"/>
      <c r="F309" s="19"/>
    </row>
    <row r="310">
      <c r="C310" s="24"/>
      <c r="E310" s="18"/>
      <c r="F310" s="19"/>
    </row>
    <row r="311">
      <c r="C311" s="24"/>
      <c r="E311" s="18"/>
      <c r="F311" s="19"/>
    </row>
    <row r="312">
      <c r="C312" s="24"/>
      <c r="E312" s="18"/>
      <c r="F312" s="19"/>
    </row>
    <row r="313">
      <c r="C313" s="24"/>
      <c r="E313" s="18"/>
      <c r="F313" s="19"/>
    </row>
    <row r="314">
      <c r="C314" s="24"/>
      <c r="E314" s="18"/>
      <c r="F314" s="19"/>
    </row>
    <row r="315">
      <c r="C315" s="24"/>
      <c r="E315" s="18"/>
      <c r="F315" s="19"/>
    </row>
    <row r="316">
      <c r="C316" s="24"/>
      <c r="E316" s="18"/>
      <c r="F316" s="19"/>
    </row>
    <row r="317">
      <c r="C317" s="24"/>
      <c r="E317" s="18"/>
      <c r="F317" s="19"/>
    </row>
    <row r="318">
      <c r="C318" s="24"/>
      <c r="E318" s="18"/>
      <c r="F318" s="19"/>
    </row>
    <row r="319">
      <c r="C319" s="24"/>
      <c r="E319" s="18"/>
      <c r="F319" s="19"/>
    </row>
    <row r="320">
      <c r="C320" s="24"/>
      <c r="E320" s="18"/>
      <c r="F320" s="19"/>
    </row>
    <row r="321">
      <c r="C321" s="24"/>
      <c r="E321" s="18"/>
      <c r="F321" s="19"/>
    </row>
    <row r="322">
      <c r="C322" s="24"/>
      <c r="E322" s="18"/>
      <c r="F322" s="19"/>
    </row>
    <row r="323">
      <c r="C323" s="24"/>
      <c r="E323" s="18"/>
      <c r="F323" s="19"/>
    </row>
    <row r="324">
      <c r="C324" s="24"/>
      <c r="E324" s="18"/>
      <c r="F324" s="19"/>
    </row>
    <row r="325">
      <c r="C325" s="24"/>
      <c r="E325" s="18"/>
      <c r="F325" s="19"/>
    </row>
    <row r="326">
      <c r="C326" s="24"/>
      <c r="E326" s="18"/>
      <c r="F326" s="19"/>
    </row>
    <row r="327">
      <c r="C327" s="24"/>
      <c r="E327" s="18"/>
      <c r="F327" s="19"/>
    </row>
    <row r="328">
      <c r="C328" s="24"/>
      <c r="E328" s="18"/>
      <c r="F328" s="19"/>
    </row>
    <row r="329">
      <c r="C329" s="24"/>
      <c r="E329" s="18"/>
      <c r="F329" s="19"/>
    </row>
    <row r="330">
      <c r="C330" s="24"/>
      <c r="E330" s="18"/>
      <c r="F330" s="19"/>
    </row>
    <row r="331">
      <c r="C331" s="24"/>
      <c r="E331" s="18"/>
      <c r="F331" s="19"/>
    </row>
    <row r="332">
      <c r="C332" s="24"/>
      <c r="E332" s="18"/>
      <c r="F332" s="19"/>
    </row>
    <row r="333">
      <c r="C333" s="24"/>
      <c r="E333" s="18"/>
      <c r="F333" s="19"/>
    </row>
    <row r="334">
      <c r="C334" s="24"/>
      <c r="E334" s="18"/>
      <c r="F334" s="19"/>
    </row>
    <row r="335">
      <c r="C335" s="24"/>
      <c r="E335" s="18"/>
      <c r="F335" s="19"/>
    </row>
    <row r="336">
      <c r="C336" s="24"/>
      <c r="E336" s="18"/>
      <c r="F336" s="19"/>
    </row>
    <row r="337">
      <c r="C337" s="24"/>
      <c r="E337" s="18"/>
      <c r="F337" s="19"/>
    </row>
    <row r="338">
      <c r="C338" s="24"/>
      <c r="E338" s="18"/>
      <c r="F338" s="19"/>
    </row>
    <row r="339">
      <c r="C339" s="24"/>
      <c r="E339" s="18"/>
      <c r="F339" s="19"/>
    </row>
    <row r="340">
      <c r="C340" s="24"/>
      <c r="E340" s="18"/>
      <c r="F340" s="19"/>
    </row>
    <row r="341">
      <c r="C341" s="24"/>
      <c r="E341" s="18"/>
      <c r="F341" s="19"/>
    </row>
    <row r="342">
      <c r="C342" s="24"/>
      <c r="E342" s="18"/>
      <c r="F342" s="19"/>
    </row>
    <row r="343">
      <c r="C343" s="24"/>
      <c r="E343" s="18"/>
      <c r="F343" s="19"/>
    </row>
    <row r="344">
      <c r="C344" s="24"/>
      <c r="E344" s="18"/>
      <c r="F344" s="19"/>
    </row>
    <row r="345">
      <c r="C345" s="24"/>
      <c r="E345" s="18"/>
      <c r="F345" s="19"/>
    </row>
    <row r="346">
      <c r="C346" s="24"/>
      <c r="E346" s="18"/>
      <c r="F346" s="19"/>
    </row>
    <row r="347">
      <c r="C347" s="24"/>
      <c r="E347" s="18"/>
      <c r="F347" s="19"/>
    </row>
    <row r="348">
      <c r="C348" s="24"/>
      <c r="E348" s="18"/>
      <c r="F348" s="19"/>
    </row>
    <row r="349">
      <c r="C349" s="24"/>
      <c r="E349" s="18"/>
      <c r="F349" s="19"/>
    </row>
    <row r="350">
      <c r="C350" s="24"/>
      <c r="E350" s="18"/>
      <c r="F350" s="19"/>
    </row>
    <row r="351">
      <c r="C351" s="24"/>
      <c r="E351" s="18"/>
      <c r="F351" s="19"/>
    </row>
    <row r="352">
      <c r="C352" s="24"/>
      <c r="E352" s="18"/>
      <c r="F352" s="19"/>
    </row>
    <row r="353">
      <c r="C353" s="24"/>
      <c r="E353" s="18"/>
      <c r="F353" s="19"/>
    </row>
    <row r="354">
      <c r="C354" s="24"/>
      <c r="E354" s="18"/>
      <c r="F354" s="19"/>
    </row>
    <row r="355">
      <c r="C355" s="24"/>
      <c r="E355" s="18"/>
      <c r="F355" s="19"/>
    </row>
    <row r="356">
      <c r="C356" s="24"/>
      <c r="E356" s="18"/>
      <c r="F356" s="19"/>
    </row>
    <row r="357">
      <c r="C357" s="24"/>
      <c r="E357" s="18"/>
      <c r="F357" s="19"/>
    </row>
    <row r="358">
      <c r="C358" s="24"/>
      <c r="E358" s="18"/>
      <c r="F358" s="19"/>
    </row>
    <row r="359">
      <c r="C359" s="24"/>
      <c r="E359" s="18"/>
      <c r="F359" s="19"/>
    </row>
    <row r="360">
      <c r="C360" s="24"/>
      <c r="E360" s="18"/>
      <c r="F360" s="19"/>
    </row>
    <row r="361">
      <c r="C361" s="24"/>
      <c r="E361" s="18"/>
      <c r="F361" s="19"/>
    </row>
    <row r="362">
      <c r="C362" s="24"/>
      <c r="E362" s="18"/>
      <c r="F362" s="19"/>
    </row>
    <row r="363">
      <c r="C363" s="24"/>
      <c r="E363" s="18"/>
      <c r="F363" s="19"/>
    </row>
    <row r="364">
      <c r="C364" s="24"/>
      <c r="E364" s="18"/>
      <c r="F364" s="19"/>
    </row>
    <row r="365">
      <c r="C365" s="24"/>
      <c r="E365" s="18"/>
      <c r="F365" s="19"/>
    </row>
    <row r="366">
      <c r="C366" s="24"/>
      <c r="E366" s="18"/>
      <c r="F366" s="19"/>
    </row>
    <row r="367">
      <c r="C367" s="24"/>
      <c r="E367" s="18"/>
      <c r="F367" s="19"/>
    </row>
    <row r="368">
      <c r="C368" s="24"/>
      <c r="E368" s="18"/>
      <c r="F368" s="19"/>
    </row>
    <row r="369">
      <c r="C369" s="24"/>
      <c r="E369" s="18"/>
      <c r="F369" s="19"/>
    </row>
    <row r="370">
      <c r="C370" s="24"/>
      <c r="E370" s="18"/>
      <c r="F370" s="19"/>
    </row>
    <row r="371">
      <c r="C371" s="24"/>
      <c r="E371" s="18"/>
      <c r="F371" s="19"/>
    </row>
    <row r="372">
      <c r="C372" s="24"/>
      <c r="E372" s="18"/>
      <c r="F372" s="19"/>
    </row>
    <row r="373">
      <c r="C373" s="24"/>
      <c r="E373" s="18"/>
      <c r="F373" s="19"/>
    </row>
    <row r="374">
      <c r="C374" s="24"/>
      <c r="E374" s="18"/>
      <c r="F374" s="19"/>
    </row>
    <row r="375">
      <c r="C375" s="24"/>
      <c r="E375" s="18"/>
      <c r="F375" s="19"/>
    </row>
    <row r="376">
      <c r="C376" s="24"/>
      <c r="E376" s="18"/>
      <c r="F376" s="19"/>
    </row>
    <row r="377">
      <c r="C377" s="24"/>
      <c r="E377" s="18"/>
      <c r="F377" s="19"/>
    </row>
    <row r="378">
      <c r="C378" s="24"/>
      <c r="E378" s="18"/>
      <c r="F378" s="19"/>
    </row>
    <row r="379">
      <c r="C379" s="24"/>
      <c r="E379" s="18"/>
      <c r="F379" s="19"/>
    </row>
    <row r="380">
      <c r="C380" s="24"/>
      <c r="E380" s="18"/>
      <c r="F380" s="19"/>
    </row>
    <row r="381">
      <c r="C381" s="24"/>
      <c r="E381" s="18"/>
      <c r="F381" s="19"/>
    </row>
    <row r="382">
      <c r="C382" s="24"/>
      <c r="E382" s="18"/>
      <c r="F382" s="19"/>
    </row>
    <row r="383">
      <c r="C383" s="24"/>
      <c r="E383" s="18"/>
      <c r="F383" s="19"/>
    </row>
    <row r="384">
      <c r="C384" s="24"/>
      <c r="E384" s="18"/>
      <c r="F384" s="19"/>
    </row>
    <row r="385">
      <c r="C385" s="24"/>
      <c r="E385" s="18"/>
      <c r="F385" s="19"/>
    </row>
    <row r="386">
      <c r="C386" s="24"/>
      <c r="E386" s="18"/>
      <c r="F386" s="19"/>
    </row>
    <row r="387">
      <c r="C387" s="24"/>
      <c r="E387" s="18"/>
      <c r="F387" s="19"/>
    </row>
    <row r="388">
      <c r="C388" s="24"/>
      <c r="E388" s="18"/>
      <c r="F388" s="19"/>
    </row>
    <row r="389">
      <c r="C389" s="24"/>
      <c r="E389" s="18"/>
      <c r="F389" s="19"/>
    </row>
    <row r="390">
      <c r="C390" s="24"/>
      <c r="E390" s="18"/>
      <c r="F390" s="19"/>
    </row>
    <row r="391">
      <c r="C391" s="24"/>
      <c r="E391" s="18"/>
      <c r="F391" s="19"/>
    </row>
    <row r="392">
      <c r="C392" s="24"/>
      <c r="E392" s="18"/>
      <c r="F392" s="19"/>
    </row>
    <row r="393">
      <c r="C393" s="24"/>
      <c r="E393" s="18"/>
      <c r="F393" s="19"/>
    </row>
    <row r="394">
      <c r="C394" s="24"/>
      <c r="E394" s="18"/>
      <c r="F394" s="19"/>
    </row>
    <row r="395">
      <c r="C395" s="24"/>
      <c r="E395" s="18"/>
      <c r="F395" s="19"/>
    </row>
    <row r="396">
      <c r="C396" s="24"/>
      <c r="E396" s="18"/>
      <c r="F396" s="19"/>
    </row>
    <row r="397">
      <c r="C397" s="24"/>
      <c r="E397" s="18"/>
      <c r="F397" s="19"/>
    </row>
    <row r="398">
      <c r="C398" s="24"/>
      <c r="E398" s="18"/>
      <c r="F398" s="19"/>
    </row>
    <row r="399">
      <c r="C399" s="24"/>
      <c r="E399" s="18"/>
      <c r="F399" s="19"/>
    </row>
    <row r="400">
      <c r="C400" s="24"/>
      <c r="E400" s="18"/>
      <c r="F400" s="19"/>
    </row>
    <row r="401">
      <c r="C401" s="24"/>
      <c r="E401" s="18"/>
      <c r="F401" s="19"/>
    </row>
    <row r="402">
      <c r="C402" s="24"/>
      <c r="E402" s="18"/>
      <c r="F402" s="19"/>
    </row>
    <row r="403">
      <c r="C403" s="24"/>
      <c r="E403" s="18"/>
      <c r="F403" s="19"/>
    </row>
    <row r="404">
      <c r="C404" s="24"/>
      <c r="E404" s="18"/>
      <c r="F404" s="19"/>
    </row>
    <row r="405">
      <c r="C405" s="24"/>
      <c r="E405" s="18"/>
      <c r="F405" s="19"/>
    </row>
    <row r="406">
      <c r="C406" s="24"/>
      <c r="E406" s="18"/>
      <c r="F406" s="19"/>
    </row>
    <row r="407">
      <c r="C407" s="24"/>
      <c r="E407" s="18"/>
      <c r="F407" s="19"/>
    </row>
    <row r="408">
      <c r="C408" s="24"/>
      <c r="E408" s="18"/>
      <c r="F408" s="19"/>
    </row>
    <row r="409">
      <c r="C409" s="24"/>
      <c r="E409" s="18"/>
      <c r="F409" s="19"/>
    </row>
    <row r="410">
      <c r="C410" s="24"/>
      <c r="E410" s="18"/>
      <c r="F410" s="19"/>
    </row>
    <row r="411">
      <c r="C411" s="24"/>
      <c r="E411" s="18"/>
      <c r="F411" s="19"/>
    </row>
    <row r="412">
      <c r="C412" s="24"/>
      <c r="E412" s="18"/>
      <c r="F412" s="19"/>
    </row>
    <row r="413">
      <c r="C413" s="24"/>
      <c r="E413" s="18"/>
      <c r="F413" s="19"/>
    </row>
    <row r="414">
      <c r="C414" s="24"/>
      <c r="E414" s="18"/>
      <c r="F414" s="19"/>
    </row>
    <row r="415">
      <c r="C415" s="24"/>
      <c r="E415" s="18"/>
      <c r="F415" s="19"/>
    </row>
    <row r="416">
      <c r="C416" s="24"/>
      <c r="E416" s="18"/>
      <c r="F416" s="19"/>
    </row>
    <row r="417">
      <c r="C417" s="24"/>
      <c r="E417" s="18"/>
      <c r="F417" s="19"/>
    </row>
    <row r="418">
      <c r="C418" s="24"/>
      <c r="E418" s="18"/>
      <c r="F418" s="19"/>
    </row>
    <row r="419">
      <c r="C419" s="24"/>
      <c r="E419" s="18"/>
      <c r="F419" s="19"/>
    </row>
    <row r="420">
      <c r="C420" s="24"/>
      <c r="E420" s="18"/>
      <c r="F420" s="19"/>
    </row>
    <row r="421">
      <c r="C421" s="24"/>
      <c r="E421" s="18"/>
      <c r="F421" s="19"/>
    </row>
    <row r="422">
      <c r="C422" s="24"/>
      <c r="E422" s="18"/>
      <c r="F422" s="19"/>
    </row>
    <row r="423">
      <c r="C423" s="24"/>
      <c r="E423" s="18"/>
      <c r="F423" s="19"/>
    </row>
    <row r="424">
      <c r="C424" s="24"/>
      <c r="E424" s="18"/>
      <c r="F424" s="19"/>
    </row>
    <row r="425">
      <c r="C425" s="24"/>
      <c r="E425" s="18"/>
      <c r="F425" s="19"/>
    </row>
    <row r="426">
      <c r="C426" s="24"/>
      <c r="E426" s="18"/>
      <c r="F426" s="19"/>
    </row>
    <row r="427">
      <c r="C427" s="24"/>
      <c r="E427" s="18"/>
      <c r="F427" s="19"/>
    </row>
    <row r="428">
      <c r="C428" s="24"/>
      <c r="E428" s="18"/>
      <c r="F428" s="19"/>
    </row>
    <row r="429">
      <c r="C429" s="24"/>
      <c r="E429" s="18"/>
      <c r="F429" s="19"/>
    </row>
    <row r="430">
      <c r="C430" s="24"/>
      <c r="E430" s="18"/>
      <c r="F430" s="19"/>
    </row>
    <row r="431">
      <c r="C431" s="24"/>
      <c r="E431" s="18"/>
      <c r="F431" s="19"/>
    </row>
    <row r="432">
      <c r="C432" s="24"/>
      <c r="E432" s="18"/>
      <c r="F432" s="19"/>
    </row>
    <row r="433">
      <c r="C433" s="24"/>
      <c r="E433" s="18"/>
      <c r="F433" s="19"/>
    </row>
    <row r="434">
      <c r="C434" s="24"/>
      <c r="E434" s="18"/>
      <c r="F434" s="19"/>
    </row>
    <row r="435">
      <c r="C435" s="24"/>
      <c r="E435" s="18"/>
      <c r="F435" s="19"/>
    </row>
    <row r="436">
      <c r="C436" s="24"/>
      <c r="E436" s="18"/>
      <c r="F436" s="19"/>
    </row>
    <row r="437">
      <c r="C437" s="24"/>
      <c r="E437" s="18"/>
      <c r="F437" s="19"/>
    </row>
    <row r="438">
      <c r="C438" s="24"/>
      <c r="E438" s="18"/>
      <c r="F438" s="19"/>
    </row>
    <row r="439">
      <c r="C439" s="24"/>
      <c r="E439" s="18"/>
      <c r="F439" s="19"/>
    </row>
    <row r="440">
      <c r="C440" s="24"/>
      <c r="E440" s="18"/>
      <c r="F440" s="19"/>
    </row>
    <row r="441">
      <c r="C441" s="24"/>
      <c r="E441" s="18"/>
      <c r="F441" s="19"/>
    </row>
    <row r="442">
      <c r="C442" s="24"/>
      <c r="E442" s="18"/>
      <c r="F442" s="19"/>
    </row>
    <row r="443">
      <c r="C443" s="24"/>
      <c r="E443" s="18"/>
      <c r="F443" s="19"/>
    </row>
    <row r="444">
      <c r="C444" s="24"/>
      <c r="E444" s="18"/>
      <c r="F444" s="19"/>
    </row>
    <row r="445">
      <c r="C445" s="24"/>
      <c r="E445" s="18"/>
      <c r="F445" s="19"/>
    </row>
    <row r="446">
      <c r="C446" s="24"/>
      <c r="E446" s="18"/>
      <c r="F446" s="19"/>
    </row>
    <row r="447">
      <c r="C447" s="24"/>
      <c r="E447" s="18"/>
      <c r="F447" s="19"/>
    </row>
    <row r="448">
      <c r="C448" s="24"/>
      <c r="E448" s="18"/>
      <c r="F448" s="19"/>
    </row>
    <row r="449">
      <c r="C449" s="24"/>
      <c r="E449" s="18"/>
      <c r="F449" s="19"/>
    </row>
    <row r="450">
      <c r="C450" s="24"/>
      <c r="E450" s="18"/>
      <c r="F450" s="19"/>
    </row>
    <row r="451">
      <c r="C451" s="24"/>
      <c r="E451" s="18"/>
      <c r="F451" s="19"/>
    </row>
    <row r="452">
      <c r="C452" s="24"/>
      <c r="E452" s="18"/>
      <c r="F452" s="19"/>
    </row>
    <row r="453">
      <c r="C453" s="24"/>
      <c r="E453" s="18"/>
      <c r="F453" s="19"/>
    </row>
    <row r="454">
      <c r="C454" s="24"/>
      <c r="E454" s="18"/>
      <c r="F454" s="19"/>
    </row>
    <row r="455">
      <c r="C455" s="24"/>
      <c r="E455" s="18"/>
      <c r="F455" s="19"/>
    </row>
    <row r="456">
      <c r="C456" s="24"/>
      <c r="E456" s="18"/>
      <c r="F456" s="19"/>
    </row>
    <row r="457">
      <c r="C457" s="24"/>
      <c r="E457" s="18"/>
      <c r="F457" s="19"/>
    </row>
    <row r="458">
      <c r="C458" s="24"/>
      <c r="E458" s="18"/>
      <c r="F458" s="19"/>
    </row>
    <row r="459">
      <c r="C459" s="24"/>
      <c r="E459" s="18"/>
      <c r="F459" s="19"/>
    </row>
    <row r="460">
      <c r="C460" s="24"/>
      <c r="E460" s="18"/>
      <c r="F460" s="19"/>
    </row>
    <row r="461">
      <c r="C461" s="24"/>
      <c r="E461" s="18"/>
      <c r="F461" s="19"/>
    </row>
    <row r="462">
      <c r="C462" s="24"/>
      <c r="E462" s="18"/>
      <c r="F462" s="19"/>
    </row>
    <row r="463">
      <c r="C463" s="24"/>
      <c r="E463" s="18"/>
      <c r="F463" s="19"/>
    </row>
    <row r="464">
      <c r="C464" s="24"/>
      <c r="E464" s="18"/>
      <c r="F464" s="19"/>
    </row>
    <row r="465">
      <c r="C465" s="24"/>
      <c r="E465" s="18"/>
      <c r="F465" s="19"/>
    </row>
    <row r="466">
      <c r="C466" s="24"/>
      <c r="E466" s="18"/>
      <c r="F466" s="19"/>
    </row>
    <row r="467">
      <c r="C467" s="24"/>
      <c r="E467" s="18"/>
      <c r="F467" s="19"/>
    </row>
    <row r="468">
      <c r="C468" s="24"/>
      <c r="E468" s="18"/>
      <c r="F468" s="19"/>
    </row>
    <row r="469">
      <c r="C469" s="24"/>
      <c r="E469" s="18"/>
      <c r="F469" s="19"/>
    </row>
    <row r="470">
      <c r="C470" s="24"/>
      <c r="E470" s="18"/>
      <c r="F470" s="19"/>
    </row>
    <row r="471">
      <c r="C471" s="24"/>
      <c r="E471" s="18"/>
      <c r="F471" s="19"/>
    </row>
    <row r="472">
      <c r="C472" s="24"/>
      <c r="E472" s="18"/>
      <c r="F472" s="19"/>
    </row>
    <row r="473">
      <c r="C473" s="24"/>
      <c r="E473" s="18"/>
      <c r="F473" s="19"/>
    </row>
    <row r="474">
      <c r="C474" s="24"/>
      <c r="E474" s="18"/>
      <c r="F474" s="19"/>
    </row>
    <row r="475">
      <c r="C475" s="24"/>
      <c r="E475" s="18"/>
      <c r="F475" s="19"/>
    </row>
    <row r="476">
      <c r="C476" s="24"/>
      <c r="E476" s="18"/>
      <c r="F476" s="19"/>
    </row>
    <row r="477">
      <c r="C477" s="24"/>
      <c r="E477" s="18"/>
      <c r="F477" s="19"/>
    </row>
    <row r="478">
      <c r="C478" s="24"/>
      <c r="E478" s="18"/>
      <c r="F478" s="19"/>
    </row>
    <row r="479">
      <c r="C479" s="24"/>
      <c r="E479" s="18"/>
      <c r="F479" s="19"/>
    </row>
    <row r="480">
      <c r="C480" s="24"/>
      <c r="E480" s="18"/>
      <c r="F480" s="19"/>
    </row>
    <row r="481">
      <c r="C481" s="24"/>
      <c r="E481" s="18"/>
      <c r="F481" s="19"/>
    </row>
    <row r="482">
      <c r="C482" s="24"/>
      <c r="E482" s="18"/>
      <c r="F482" s="19"/>
    </row>
    <row r="483">
      <c r="C483" s="24"/>
      <c r="E483" s="18"/>
      <c r="F483" s="19"/>
    </row>
    <row r="484">
      <c r="C484" s="24"/>
      <c r="E484" s="18"/>
      <c r="F484" s="19"/>
    </row>
    <row r="485">
      <c r="C485" s="24"/>
      <c r="E485" s="18"/>
      <c r="F485" s="19"/>
    </row>
    <row r="486">
      <c r="C486" s="24"/>
      <c r="E486" s="18"/>
      <c r="F486" s="19"/>
    </row>
    <row r="487">
      <c r="C487" s="24"/>
      <c r="E487" s="18"/>
      <c r="F487" s="19"/>
    </row>
    <row r="488">
      <c r="C488" s="24"/>
      <c r="E488" s="18"/>
      <c r="F488" s="19"/>
    </row>
    <row r="489">
      <c r="C489" s="24"/>
      <c r="E489" s="18"/>
      <c r="F489" s="19"/>
    </row>
    <row r="490">
      <c r="C490" s="24"/>
      <c r="E490" s="18"/>
      <c r="F490" s="19"/>
    </row>
    <row r="491">
      <c r="C491" s="24"/>
      <c r="E491" s="18"/>
      <c r="F491" s="19"/>
    </row>
    <row r="492">
      <c r="C492" s="24"/>
      <c r="E492" s="18"/>
      <c r="F492" s="19"/>
    </row>
    <row r="493">
      <c r="C493" s="24"/>
      <c r="E493" s="18"/>
      <c r="F493" s="19"/>
    </row>
    <row r="494">
      <c r="C494" s="24"/>
      <c r="E494" s="18"/>
      <c r="F494" s="19"/>
    </row>
    <row r="495">
      <c r="C495" s="24"/>
      <c r="E495" s="18"/>
      <c r="F495" s="19"/>
    </row>
    <row r="496">
      <c r="C496" s="24"/>
      <c r="E496" s="18"/>
      <c r="F496" s="19"/>
    </row>
    <row r="497">
      <c r="C497" s="24"/>
      <c r="E497" s="18"/>
      <c r="F497" s="19"/>
    </row>
    <row r="498">
      <c r="C498" s="24"/>
      <c r="E498" s="18"/>
      <c r="F498" s="19"/>
    </row>
    <row r="499">
      <c r="C499" s="24"/>
      <c r="E499" s="18"/>
      <c r="F499" s="19"/>
    </row>
    <row r="500">
      <c r="C500" s="24"/>
      <c r="E500" s="18"/>
      <c r="F500" s="19"/>
    </row>
    <row r="501">
      <c r="C501" s="24"/>
      <c r="E501" s="18"/>
      <c r="F501" s="19"/>
    </row>
    <row r="502">
      <c r="C502" s="24"/>
      <c r="E502" s="18"/>
      <c r="F502" s="19"/>
    </row>
    <row r="503">
      <c r="C503" s="24"/>
      <c r="E503" s="18"/>
      <c r="F503" s="19"/>
    </row>
    <row r="504">
      <c r="C504" s="24"/>
      <c r="E504" s="18"/>
      <c r="F504" s="19"/>
    </row>
    <row r="505">
      <c r="C505" s="24"/>
      <c r="E505" s="18"/>
      <c r="F505" s="19"/>
    </row>
    <row r="506">
      <c r="C506" s="24"/>
      <c r="E506" s="18"/>
      <c r="F506" s="19"/>
    </row>
    <row r="507">
      <c r="C507" s="24"/>
      <c r="E507" s="18"/>
      <c r="F507" s="19"/>
    </row>
    <row r="508">
      <c r="C508" s="24"/>
      <c r="E508" s="18"/>
      <c r="F508" s="19"/>
    </row>
    <row r="509">
      <c r="C509" s="24"/>
      <c r="E509" s="18"/>
      <c r="F509" s="19"/>
    </row>
    <row r="510">
      <c r="C510" s="24"/>
      <c r="E510" s="18"/>
      <c r="F510" s="19"/>
    </row>
    <row r="511">
      <c r="C511" s="24"/>
      <c r="E511" s="18"/>
      <c r="F511" s="19"/>
    </row>
    <row r="512">
      <c r="C512" s="24"/>
      <c r="E512" s="18"/>
      <c r="F512" s="19"/>
    </row>
    <row r="513">
      <c r="C513" s="24"/>
      <c r="E513" s="18"/>
      <c r="F513" s="19"/>
    </row>
    <row r="514">
      <c r="C514" s="24"/>
      <c r="E514" s="18"/>
      <c r="F514" s="19"/>
    </row>
    <row r="515">
      <c r="C515" s="24"/>
      <c r="E515" s="18"/>
      <c r="F515" s="19"/>
    </row>
    <row r="516">
      <c r="C516" s="24"/>
      <c r="E516" s="18"/>
      <c r="F516" s="19"/>
    </row>
    <row r="517">
      <c r="C517" s="24"/>
      <c r="E517" s="18"/>
      <c r="F517" s="19"/>
    </row>
    <row r="518">
      <c r="C518" s="24"/>
      <c r="E518" s="18"/>
      <c r="F518" s="19"/>
    </row>
    <row r="519">
      <c r="C519" s="24"/>
      <c r="E519" s="18"/>
      <c r="F519" s="19"/>
    </row>
    <row r="520">
      <c r="C520" s="24"/>
      <c r="E520" s="18"/>
      <c r="F520" s="19"/>
    </row>
    <row r="521">
      <c r="C521" s="24"/>
      <c r="E521" s="18"/>
      <c r="F521" s="19"/>
    </row>
    <row r="522">
      <c r="C522" s="24"/>
      <c r="E522" s="18"/>
      <c r="F522" s="19"/>
    </row>
    <row r="523">
      <c r="C523" s="24"/>
      <c r="E523" s="18"/>
      <c r="F523" s="19"/>
    </row>
    <row r="524">
      <c r="C524" s="24"/>
      <c r="E524" s="18"/>
      <c r="F524" s="19"/>
    </row>
    <row r="525">
      <c r="C525" s="24"/>
      <c r="E525" s="18"/>
      <c r="F525" s="19"/>
    </row>
    <row r="526">
      <c r="C526" s="24"/>
      <c r="E526" s="18"/>
      <c r="F526" s="19"/>
    </row>
    <row r="527">
      <c r="C527" s="24"/>
      <c r="E527" s="18"/>
      <c r="F527" s="19"/>
    </row>
    <row r="528">
      <c r="C528" s="24"/>
      <c r="E528" s="18"/>
      <c r="F528" s="19"/>
    </row>
    <row r="529">
      <c r="C529" s="24"/>
      <c r="E529" s="18"/>
      <c r="F529" s="19"/>
    </row>
    <row r="530">
      <c r="C530" s="24"/>
      <c r="E530" s="18"/>
      <c r="F530" s="19"/>
    </row>
    <row r="531">
      <c r="C531" s="24"/>
      <c r="E531" s="18"/>
      <c r="F531" s="19"/>
    </row>
    <row r="532">
      <c r="C532" s="24"/>
      <c r="E532" s="18"/>
      <c r="F532" s="19"/>
    </row>
    <row r="533">
      <c r="C533" s="24"/>
      <c r="E533" s="18"/>
      <c r="F533" s="19"/>
    </row>
    <row r="534">
      <c r="C534" s="24"/>
      <c r="E534" s="18"/>
      <c r="F534" s="19"/>
    </row>
    <row r="535">
      <c r="C535" s="24"/>
      <c r="E535" s="18"/>
      <c r="F535" s="19"/>
    </row>
    <row r="536">
      <c r="C536" s="24"/>
      <c r="E536" s="18"/>
      <c r="F536" s="19"/>
    </row>
    <row r="537">
      <c r="C537" s="24"/>
      <c r="E537" s="18"/>
      <c r="F537" s="19"/>
    </row>
    <row r="538">
      <c r="C538" s="24"/>
      <c r="E538" s="18"/>
      <c r="F538" s="19"/>
    </row>
    <row r="539">
      <c r="C539" s="24"/>
      <c r="E539" s="18"/>
      <c r="F539" s="19"/>
    </row>
    <row r="540">
      <c r="C540" s="24"/>
      <c r="E540" s="18"/>
      <c r="F540" s="19"/>
    </row>
    <row r="541">
      <c r="C541" s="24"/>
      <c r="E541" s="18"/>
      <c r="F541" s="19"/>
    </row>
    <row r="542">
      <c r="C542" s="24"/>
      <c r="E542" s="18"/>
      <c r="F542" s="19"/>
    </row>
    <row r="543">
      <c r="C543" s="24"/>
      <c r="E543" s="18"/>
      <c r="F543" s="19"/>
    </row>
    <row r="544">
      <c r="C544" s="24"/>
      <c r="E544" s="18"/>
      <c r="F544" s="19"/>
    </row>
    <row r="545">
      <c r="C545" s="24"/>
      <c r="E545" s="18"/>
      <c r="F545" s="19"/>
    </row>
    <row r="546">
      <c r="C546" s="24"/>
      <c r="E546" s="18"/>
      <c r="F546" s="19"/>
    </row>
    <row r="547">
      <c r="C547" s="24"/>
      <c r="E547" s="18"/>
      <c r="F547" s="19"/>
    </row>
    <row r="548">
      <c r="C548" s="24"/>
      <c r="E548" s="18"/>
      <c r="F548" s="19"/>
    </row>
    <row r="549">
      <c r="C549" s="24"/>
      <c r="E549" s="18"/>
      <c r="F549" s="19"/>
    </row>
    <row r="550">
      <c r="C550" s="24"/>
      <c r="E550" s="18"/>
      <c r="F550" s="19"/>
    </row>
    <row r="551">
      <c r="C551" s="24"/>
      <c r="E551" s="18"/>
      <c r="F551" s="19"/>
    </row>
    <row r="552">
      <c r="C552" s="24"/>
      <c r="E552" s="18"/>
      <c r="F552" s="19"/>
    </row>
    <row r="553">
      <c r="C553" s="24"/>
      <c r="E553" s="18"/>
      <c r="F553" s="19"/>
    </row>
    <row r="554">
      <c r="C554" s="24"/>
      <c r="E554" s="18"/>
      <c r="F554" s="19"/>
    </row>
    <row r="555">
      <c r="C555" s="24"/>
      <c r="E555" s="18"/>
      <c r="F555" s="19"/>
    </row>
    <row r="556">
      <c r="C556" s="24"/>
      <c r="E556" s="18"/>
      <c r="F556" s="19"/>
    </row>
    <row r="557">
      <c r="C557" s="24"/>
      <c r="E557" s="18"/>
      <c r="F557" s="19"/>
    </row>
    <row r="558">
      <c r="C558" s="24"/>
      <c r="E558" s="18"/>
      <c r="F558" s="19"/>
    </row>
    <row r="559">
      <c r="C559" s="24"/>
      <c r="E559" s="18"/>
      <c r="F559" s="19"/>
    </row>
    <row r="560">
      <c r="C560" s="24"/>
      <c r="E560" s="18"/>
      <c r="F560" s="19"/>
    </row>
    <row r="561">
      <c r="C561" s="24"/>
      <c r="E561" s="18"/>
      <c r="F561" s="19"/>
    </row>
    <row r="562">
      <c r="C562" s="24"/>
      <c r="E562" s="18"/>
      <c r="F562" s="19"/>
    </row>
    <row r="563">
      <c r="C563" s="24"/>
      <c r="E563" s="18"/>
      <c r="F563" s="19"/>
    </row>
    <row r="564">
      <c r="C564" s="24"/>
      <c r="E564" s="18"/>
      <c r="F564" s="19"/>
    </row>
    <row r="565">
      <c r="C565" s="24"/>
      <c r="E565" s="18"/>
      <c r="F565" s="19"/>
    </row>
    <row r="566">
      <c r="C566" s="24"/>
      <c r="E566" s="18"/>
      <c r="F566" s="19"/>
    </row>
    <row r="567">
      <c r="C567" s="24"/>
      <c r="E567" s="18"/>
      <c r="F567" s="19"/>
    </row>
    <row r="568">
      <c r="C568" s="24"/>
      <c r="E568" s="18"/>
      <c r="F568" s="19"/>
    </row>
    <row r="569">
      <c r="C569" s="24"/>
      <c r="E569" s="18"/>
      <c r="F569" s="19"/>
    </row>
    <row r="570">
      <c r="C570" s="24"/>
      <c r="E570" s="18"/>
      <c r="F570" s="19"/>
    </row>
    <row r="571">
      <c r="C571" s="24"/>
      <c r="E571" s="18"/>
      <c r="F571" s="19"/>
    </row>
    <row r="572">
      <c r="C572" s="24"/>
      <c r="E572" s="18"/>
      <c r="F572" s="19"/>
    </row>
    <row r="573">
      <c r="C573" s="24"/>
      <c r="E573" s="18"/>
      <c r="F573" s="19"/>
    </row>
    <row r="574">
      <c r="C574" s="24"/>
      <c r="E574" s="18"/>
      <c r="F574" s="19"/>
    </row>
    <row r="575">
      <c r="C575" s="24"/>
      <c r="E575" s="18"/>
      <c r="F575" s="19"/>
    </row>
    <row r="576">
      <c r="C576" s="24"/>
      <c r="E576" s="18"/>
      <c r="F576" s="19"/>
    </row>
    <row r="577">
      <c r="C577" s="24"/>
      <c r="E577" s="18"/>
      <c r="F577" s="19"/>
    </row>
    <row r="578">
      <c r="C578" s="24"/>
      <c r="E578" s="18"/>
      <c r="F578" s="19"/>
    </row>
    <row r="579">
      <c r="C579" s="24"/>
      <c r="E579" s="18"/>
      <c r="F579" s="19"/>
    </row>
    <row r="580">
      <c r="C580" s="24"/>
      <c r="E580" s="18"/>
      <c r="F580" s="19"/>
    </row>
    <row r="581">
      <c r="C581" s="24"/>
      <c r="E581" s="18"/>
      <c r="F581" s="19"/>
    </row>
    <row r="582">
      <c r="C582" s="24"/>
      <c r="E582" s="18"/>
      <c r="F582" s="19"/>
    </row>
    <row r="583">
      <c r="C583" s="24"/>
      <c r="E583" s="18"/>
      <c r="F583" s="19"/>
    </row>
    <row r="584">
      <c r="C584" s="24"/>
      <c r="E584" s="18"/>
      <c r="F584" s="19"/>
    </row>
    <row r="585">
      <c r="C585" s="24"/>
      <c r="E585" s="18"/>
      <c r="F585" s="19"/>
    </row>
    <row r="586">
      <c r="C586" s="24"/>
      <c r="E586" s="18"/>
      <c r="F586" s="19"/>
    </row>
    <row r="587">
      <c r="C587" s="24"/>
      <c r="E587" s="18"/>
      <c r="F587" s="19"/>
    </row>
    <row r="588">
      <c r="C588" s="24"/>
      <c r="E588" s="18"/>
      <c r="F588" s="19"/>
    </row>
    <row r="589">
      <c r="C589" s="24"/>
      <c r="E589" s="18"/>
      <c r="F589" s="19"/>
    </row>
    <row r="590">
      <c r="C590" s="24"/>
      <c r="E590" s="18"/>
      <c r="F590" s="19"/>
    </row>
    <row r="591">
      <c r="C591" s="24"/>
      <c r="E591" s="18"/>
      <c r="F591" s="19"/>
    </row>
    <row r="592">
      <c r="C592" s="24"/>
      <c r="E592" s="18"/>
      <c r="F592" s="19"/>
    </row>
    <row r="593">
      <c r="C593" s="24"/>
      <c r="E593" s="18"/>
      <c r="F593" s="19"/>
    </row>
    <row r="594">
      <c r="C594" s="24"/>
      <c r="E594" s="18"/>
      <c r="F594" s="19"/>
    </row>
    <row r="595">
      <c r="C595" s="24"/>
      <c r="E595" s="18"/>
      <c r="F595" s="19"/>
    </row>
    <row r="596">
      <c r="C596" s="24"/>
      <c r="E596" s="18"/>
      <c r="F596" s="19"/>
    </row>
    <row r="597">
      <c r="C597" s="24"/>
      <c r="E597" s="18"/>
      <c r="F597" s="19"/>
    </row>
    <row r="598">
      <c r="C598" s="24"/>
      <c r="E598" s="18"/>
      <c r="F598" s="19"/>
    </row>
    <row r="599">
      <c r="C599" s="24"/>
      <c r="E599" s="18"/>
      <c r="F599" s="19"/>
    </row>
    <row r="600">
      <c r="C600" s="24"/>
      <c r="E600" s="18"/>
      <c r="F600" s="19"/>
    </row>
    <row r="601">
      <c r="C601" s="24"/>
      <c r="E601" s="18"/>
      <c r="F601" s="19"/>
    </row>
    <row r="602">
      <c r="C602" s="24"/>
      <c r="E602" s="18"/>
      <c r="F602" s="19"/>
    </row>
    <row r="603">
      <c r="C603" s="24"/>
      <c r="E603" s="18"/>
      <c r="F603" s="19"/>
    </row>
    <row r="604">
      <c r="C604" s="24"/>
      <c r="E604" s="18"/>
      <c r="F604" s="19"/>
    </row>
    <row r="605">
      <c r="C605" s="24"/>
      <c r="E605" s="18"/>
      <c r="F605" s="19"/>
    </row>
    <row r="606">
      <c r="C606" s="24"/>
      <c r="E606" s="18"/>
      <c r="F606" s="19"/>
    </row>
    <row r="607">
      <c r="C607" s="24"/>
      <c r="E607" s="18"/>
      <c r="F607" s="19"/>
    </row>
    <row r="608">
      <c r="C608" s="24"/>
      <c r="E608" s="18"/>
      <c r="F608" s="19"/>
    </row>
    <row r="609">
      <c r="C609" s="24"/>
      <c r="E609" s="18"/>
      <c r="F609" s="19"/>
    </row>
    <row r="610">
      <c r="C610" s="24"/>
      <c r="E610" s="18"/>
      <c r="F610" s="19"/>
    </row>
    <row r="611">
      <c r="C611" s="24"/>
      <c r="E611" s="18"/>
      <c r="F611" s="19"/>
    </row>
    <row r="612">
      <c r="C612" s="24"/>
      <c r="E612" s="18"/>
      <c r="F612" s="19"/>
    </row>
    <row r="613">
      <c r="C613" s="24"/>
      <c r="E613" s="18"/>
      <c r="F613" s="19"/>
    </row>
    <row r="614">
      <c r="C614" s="24"/>
      <c r="E614" s="18"/>
      <c r="F614" s="19"/>
    </row>
    <row r="615">
      <c r="C615" s="24"/>
      <c r="E615" s="18"/>
      <c r="F615" s="19"/>
    </row>
    <row r="616">
      <c r="C616" s="24"/>
      <c r="E616" s="18"/>
      <c r="F616" s="19"/>
    </row>
    <row r="617">
      <c r="C617" s="24"/>
      <c r="E617" s="18"/>
      <c r="F617" s="19"/>
    </row>
    <row r="618">
      <c r="C618" s="24"/>
      <c r="E618" s="18"/>
      <c r="F618" s="19"/>
    </row>
    <row r="619">
      <c r="C619" s="24"/>
      <c r="E619" s="18"/>
      <c r="F619" s="19"/>
    </row>
    <row r="620">
      <c r="C620" s="24"/>
      <c r="E620" s="18"/>
      <c r="F620" s="19"/>
    </row>
    <row r="621">
      <c r="C621" s="24"/>
      <c r="E621" s="18"/>
      <c r="F621" s="19"/>
    </row>
    <row r="622">
      <c r="C622" s="24"/>
      <c r="E622" s="18"/>
      <c r="F622" s="19"/>
    </row>
    <row r="623">
      <c r="C623" s="24"/>
      <c r="E623" s="18"/>
      <c r="F623" s="19"/>
    </row>
    <row r="624">
      <c r="C624" s="24"/>
      <c r="E624" s="18"/>
      <c r="F624" s="19"/>
    </row>
    <row r="625">
      <c r="C625" s="24"/>
      <c r="E625" s="18"/>
      <c r="F625" s="19"/>
    </row>
    <row r="626">
      <c r="C626" s="24"/>
      <c r="E626" s="18"/>
      <c r="F626" s="19"/>
    </row>
    <row r="627">
      <c r="C627" s="24"/>
      <c r="E627" s="18"/>
      <c r="F627" s="19"/>
    </row>
    <row r="628">
      <c r="C628" s="24"/>
      <c r="E628" s="18"/>
      <c r="F628" s="19"/>
    </row>
    <row r="629">
      <c r="C629" s="24"/>
      <c r="E629" s="18"/>
      <c r="F629" s="19"/>
    </row>
    <row r="630">
      <c r="C630" s="24"/>
      <c r="E630" s="18"/>
      <c r="F630" s="19"/>
    </row>
    <row r="631">
      <c r="C631" s="24"/>
      <c r="E631" s="18"/>
      <c r="F631" s="19"/>
    </row>
    <row r="632">
      <c r="C632" s="24"/>
      <c r="E632" s="18"/>
      <c r="F632" s="19"/>
    </row>
    <row r="633">
      <c r="C633" s="24"/>
      <c r="E633" s="18"/>
      <c r="F633" s="19"/>
    </row>
    <row r="634">
      <c r="C634" s="24"/>
      <c r="E634" s="18"/>
      <c r="F634" s="19"/>
    </row>
    <row r="635">
      <c r="C635" s="24"/>
      <c r="E635" s="18"/>
      <c r="F635" s="19"/>
    </row>
    <row r="636">
      <c r="C636" s="24"/>
      <c r="E636" s="18"/>
      <c r="F636" s="19"/>
    </row>
    <row r="637">
      <c r="C637" s="24"/>
      <c r="E637" s="18"/>
      <c r="F637" s="19"/>
    </row>
    <row r="638">
      <c r="C638" s="24"/>
      <c r="E638" s="18"/>
      <c r="F638" s="19"/>
    </row>
    <row r="639">
      <c r="C639" s="24"/>
      <c r="E639" s="18"/>
      <c r="F639" s="19"/>
    </row>
    <row r="640">
      <c r="C640" s="24"/>
      <c r="E640" s="18"/>
      <c r="F640" s="19"/>
    </row>
    <row r="641">
      <c r="C641" s="24"/>
      <c r="E641" s="18"/>
      <c r="F641" s="19"/>
    </row>
    <row r="642">
      <c r="C642" s="24"/>
      <c r="E642" s="18"/>
      <c r="F642" s="19"/>
    </row>
    <row r="643">
      <c r="C643" s="24"/>
      <c r="E643" s="18"/>
      <c r="F643" s="19"/>
    </row>
    <row r="644">
      <c r="C644" s="24"/>
      <c r="E644" s="18"/>
      <c r="F644" s="19"/>
    </row>
    <row r="645">
      <c r="C645" s="24"/>
      <c r="E645" s="18"/>
      <c r="F645" s="19"/>
    </row>
    <row r="646">
      <c r="C646" s="24"/>
      <c r="E646" s="18"/>
      <c r="F646" s="19"/>
    </row>
    <row r="647">
      <c r="C647" s="24"/>
      <c r="E647" s="18"/>
      <c r="F647" s="19"/>
    </row>
    <row r="648">
      <c r="C648" s="24"/>
      <c r="E648" s="18"/>
      <c r="F648" s="19"/>
    </row>
    <row r="649">
      <c r="C649" s="24"/>
      <c r="E649" s="18"/>
      <c r="F649" s="19"/>
    </row>
    <row r="650">
      <c r="C650" s="24"/>
      <c r="E650" s="18"/>
      <c r="F650" s="19"/>
    </row>
    <row r="651">
      <c r="C651" s="24"/>
      <c r="E651" s="18"/>
      <c r="F651" s="19"/>
    </row>
    <row r="652">
      <c r="C652" s="24"/>
      <c r="E652" s="18"/>
      <c r="F652" s="19"/>
    </row>
    <row r="653">
      <c r="C653" s="24"/>
      <c r="E653" s="18"/>
      <c r="F653" s="19"/>
    </row>
    <row r="654">
      <c r="C654" s="24"/>
      <c r="E654" s="18"/>
      <c r="F654" s="19"/>
    </row>
    <row r="655">
      <c r="C655" s="24"/>
      <c r="E655" s="18"/>
      <c r="F655" s="19"/>
    </row>
    <row r="656">
      <c r="C656" s="24"/>
      <c r="E656" s="18"/>
      <c r="F656" s="19"/>
    </row>
    <row r="657">
      <c r="C657" s="24"/>
      <c r="E657" s="18"/>
      <c r="F657" s="19"/>
    </row>
    <row r="658">
      <c r="C658" s="24"/>
      <c r="E658" s="18"/>
      <c r="F658" s="19"/>
    </row>
    <row r="659">
      <c r="C659" s="24"/>
      <c r="E659" s="18"/>
      <c r="F659" s="19"/>
    </row>
    <row r="660">
      <c r="C660" s="24"/>
      <c r="E660" s="18"/>
      <c r="F660" s="19"/>
    </row>
    <row r="661">
      <c r="C661" s="24"/>
      <c r="E661" s="18"/>
      <c r="F661" s="19"/>
    </row>
    <row r="662">
      <c r="C662" s="24"/>
      <c r="E662" s="18"/>
      <c r="F662" s="19"/>
    </row>
    <row r="663">
      <c r="C663" s="24"/>
      <c r="E663" s="18"/>
      <c r="F663" s="19"/>
    </row>
    <row r="664">
      <c r="C664" s="24"/>
      <c r="E664" s="18"/>
      <c r="F664" s="19"/>
    </row>
    <row r="665">
      <c r="C665" s="24"/>
      <c r="E665" s="18"/>
      <c r="F665" s="19"/>
    </row>
    <row r="666">
      <c r="C666" s="24"/>
      <c r="E666" s="18"/>
      <c r="F666" s="19"/>
    </row>
    <row r="667">
      <c r="C667" s="24"/>
      <c r="E667" s="18"/>
      <c r="F667" s="19"/>
    </row>
    <row r="668">
      <c r="C668" s="24"/>
      <c r="E668" s="18"/>
      <c r="F668" s="19"/>
    </row>
    <row r="669">
      <c r="C669" s="24"/>
      <c r="E669" s="18"/>
      <c r="F669" s="19"/>
    </row>
    <row r="670">
      <c r="C670" s="24"/>
      <c r="E670" s="18"/>
      <c r="F670" s="19"/>
    </row>
    <row r="671">
      <c r="C671" s="24"/>
      <c r="E671" s="18"/>
      <c r="F671" s="19"/>
    </row>
    <row r="672">
      <c r="C672" s="24"/>
      <c r="E672" s="18"/>
      <c r="F672" s="19"/>
    </row>
    <row r="673">
      <c r="C673" s="24"/>
      <c r="E673" s="18"/>
      <c r="F673" s="19"/>
    </row>
    <row r="674">
      <c r="C674" s="24"/>
      <c r="E674" s="18"/>
      <c r="F674" s="19"/>
    </row>
    <row r="675">
      <c r="C675" s="24"/>
      <c r="E675" s="18"/>
      <c r="F675" s="19"/>
    </row>
    <row r="676">
      <c r="C676" s="24"/>
      <c r="E676" s="18"/>
      <c r="F676" s="19"/>
    </row>
    <row r="677">
      <c r="C677" s="24"/>
      <c r="E677" s="18"/>
      <c r="F677" s="19"/>
    </row>
    <row r="678">
      <c r="C678" s="24"/>
      <c r="E678" s="18"/>
      <c r="F678" s="19"/>
    </row>
    <row r="679">
      <c r="C679" s="24"/>
      <c r="E679" s="18"/>
      <c r="F679" s="19"/>
    </row>
    <row r="680">
      <c r="C680" s="24"/>
      <c r="E680" s="18"/>
      <c r="F680" s="19"/>
    </row>
    <row r="681">
      <c r="C681" s="24"/>
      <c r="E681" s="18"/>
      <c r="F681" s="19"/>
    </row>
    <row r="682">
      <c r="C682" s="24"/>
      <c r="E682" s="18"/>
      <c r="F682" s="19"/>
    </row>
    <row r="683">
      <c r="C683" s="24"/>
      <c r="E683" s="18"/>
      <c r="F683" s="19"/>
    </row>
    <row r="684">
      <c r="C684" s="24"/>
      <c r="E684" s="18"/>
      <c r="F684" s="19"/>
    </row>
    <row r="685">
      <c r="C685" s="24"/>
      <c r="E685" s="18"/>
      <c r="F685" s="19"/>
    </row>
    <row r="686">
      <c r="C686" s="24"/>
      <c r="E686" s="18"/>
      <c r="F686" s="19"/>
    </row>
    <row r="687">
      <c r="C687" s="24"/>
      <c r="E687" s="18"/>
      <c r="F687" s="19"/>
    </row>
    <row r="688">
      <c r="C688" s="24"/>
      <c r="E688" s="18"/>
      <c r="F688" s="19"/>
    </row>
    <row r="689">
      <c r="C689" s="24"/>
      <c r="E689" s="18"/>
      <c r="F689" s="19"/>
    </row>
    <row r="690">
      <c r="C690" s="24"/>
      <c r="E690" s="18"/>
      <c r="F690" s="19"/>
    </row>
    <row r="691">
      <c r="C691" s="24"/>
      <c r="E691" s="18"/>
      <c r="F691" s="19"/>
    </row>
    <row r="692">
      <c r="C692" s="24"/>
      <c r="E692" s="18"/>
      <c r="F692" s="19"/>
    </row>
    <row r="693">
      <c r="C693" s="24"/>
      <c r="E693" s="18"/>
      <c r="F693" s="19"/>
    </row>
    <row r="694">
      <c r="C694" s="24"/>
      <c r="E694" s="18"/>
      <c r="F694" s="19"/>
    </row>
    <row r="695">
      <c r="C695" s="24"/>
      <c r="E695" s="18"/>
      <c r="F695" s="19"/>
    </row>
    <row r="696">
      <c r="C696" s="24"/>
      <c r="E696" s="18"/>
      <c r="F696" s="19"/>
    </row>
    <row r="697">
      <c r="C697" s="24"/>
      <c r="E697" s="18"/>
      <c r="F697" s="19"/>
    </row>
    <row r="698">
      <c r="C698" s="24"/>
      <c r="E698" s="18"/>
      <c r="F698" s="19"/>
    </row>
    <row r="699">
      <c r="C699" s="24"/>
      <c r="E699" s="18"/>
      <c r="F699" s="19"/>
    </row>
    <row r="700">
      <c r="C700" s="24"/>
      <c r="E700" s="18"/>
      <c r="F700" s="19"/>
    </row>
    <row r="701">
      <c r="C701" s="24"/>
      <c r="E701" s="18"/>
      <c r="F701" s="19"/>
    </row>
    <row r="702">
      <c r="C702" s="24"/>
      <c r="E702" s="18"/>
      <c r="F702" s="19"/>
    </row>
    <row r="703">
      <c r="C703" s="24"/>
      <c r="E703" s="18"/>
      <c r="F703" s="19"/>
    </row>
    <row r="704">
      <c r="C704" s="24"/>
      <c r="E704" s="18"/>
      <c r="F704" s="19"/>
    </row>
    <row r="705">
      <c r="C705" s="24"/>
      <c r="E705" s="18"/>
      <c r="F705" s="19"/>
    </row>
    <row r="706">
      <c r="C706" s="24"/>
      <c r="E706" s="18"/>
      <c r="F706" s="19"/>
    </row>
    <row r="707">
      <c r="C707" s="24"/>
      <c r="E707" s="18"/>
      <c r="F707" s="19"/>
    </row>
    <row r="708">
      <c r="C708" s="24"/>
      <c r="E708" s="18"/>
      <c r="F708" s="19"/>
    </row>
    <row r="709">
      <c r="C709" s="24"/>
      <c r="E709" s="18"/>
      <c r="F709" s="19"/>
    </row>
    <row r="710">
      <c r="C710" s="24"/>
      <c r="E710" s="18"/>
      <c r="F710" s="19"/>
    </row>
    <row r="711">
      <c r="C711" s="24"/>
      <c r="E711" s="18"/>
      <c r="F711" s="19"/>
    </row>
    <row r="712">
      <c r="C712" s="24"/>
      <c r="E712" s="18"/>
      <c r="F712" s="19"/>
    </row>
    <row r="713">
      <c r="C713" s="24"/>
      <c r="E713" s="18"/>
      <c r="F713" s="19"/>
    </row>
    <row r="714">
      <c r="C714" s="24"/>
      <c r="E714" s="18"/>
      <c r="F714" s="19"/>
    </row>
    <row r="715">
      <c r="C715" s="24"/>
      <c r="E715" s="18"/>
      <c r="F715" s="19"/>
    </row>
    <row r="716">
      <c r="C716" s="24"/>
      <c r="E716" s="18"/>
      <c r="F716" s="19"/>
    </row>
    <row r="717">
      <c r="C717" s="24"/>
      <c r="E717" s="18"/>
      <c r="F717" s="19"/>
    </row>
    <row r="718">
      <c r="C718" s="24"/>
      <c r="E718" s="18"/>
      <c r="F718" s="19"/>
    </row>
    <row r="719">
      <c r="C719" s="24"/>
      <c r="E719" s="18"/>
      <c r="F719" s="19"/>
    </row>
    <row r="720">
      <c r="C720" s="24"/>
      <c r="E720" s="18"/>
      <c r="F720" s="19"/>
    </row>
    <row r="721">
      <c r="C721" s="24"/>
      <c r="E721" s="18"/>
      <c r="F721" s="19"/>
    </row>
    <row r="722">
      <c r="C722" s="24"/>
      <c r="E722" s="18"/>
      <c r="F722" s="19"/>
    </row>
    <row r="723">
      <c r="C723" s="24"/>
      <c r="E723" s="18"/>
      <c r="F723" s="19"/>
    </row>
    <row r="724">
      <c r="C724" s="24"/>
      <c r="E724" s="18"/>
      <c r="F724" s="19"/>
    </row>
    <row r="725">
      <c r="C725" s="24"/>
      <c r="E725" s="18"/>
      <c r="F725" s="19"/>
    </row>
    <row r="726">
      <c r="C726" s="24"/>
      <c r="E726" s="18"/>
      <c r="F726" s="19"/>
    </row>
    <row r="727">
      <c r="C727" s="24"/>
      <c r="E727" s="18"/>
      <c r="F727" s="19"/>
    </row>
    <row r="728">
      <c r="C728" s="24"/>
      <c r="E728" s="18"/>
      <c r="F728" s="19"/>
    </row>
    <row r="729">
      <c r="C729" s="24"/>
      <c r="E729" s="18"/>
      <c r="F729" s="19"/>
    </row>
    <row r="730">
      <c r="C730" s="24"/>
      <c r="E730" s="18"/>
      <c r="F730" s="19"/>
    </row>
    <row r="731">
      <c r="C731" s="24"/>
      <c r="E731" s="18"/>
      <c r="F731" s="19"/>
    </row>
    <row r="732">
      <c r="C732" s="24"/>
      <c r="E732" s="18"/>
      <c r="F732" s="19"/>
    </row>
    <row r="733">
      <c r="C733" s="24"/>
      <c r="E733" s="18"/>
      <c r="F733" s="19"/>
    </row>
    <row r="734">
      <c r="C734" s="24"/>
      <c r="E734" s="18"/>
      <c r="F734" s="19"/>
    </row>
    <row r="735">
      <c r="C735" s="24"/>
      <c r="E735" s="18"/>
      <c r="F735" s="19"/>
    </row>
    <row r="736">
      <c r="C736" s="24"/>
      <c r="E736" s="18"/>
      <c r="F736" s="19"/>
    </row>
    <row r="737">
      <c r="C737" s="24"/>
      <c r="E737" s="18"/>
      <c r="F737" s="19"/>
    </row>
    <row r="738">
      <c r="C738" s="24"/>
      <c r="E738" s="18"/>
      <c r="F738" s="19"/>
    </row>
    <row r="739">
      <c r="C739" s="24"/>
      <c r="E739" s="18"/>
      <c r="F739" s="19"/>
    </row>
    <row r="740">
      <c r="C740" s="24"/>
      <c r="E740" s="18"/>
      <c r="F740" s="19"/>
    </row>
    <row r="741">
      <c r="C741" s="24"/>
      <c r="E741" s="18"/>
      <c r="F741" s="19"/>
    </row>
    <row r="742">
      <c r="C742" s="24"/>
      <c r="E742" s="18"/>
      <c r="F742" s="19"/>
    </row>
    <row r="743">
      <c r="C743" s="24"/>
      <c r="E743" s="18"/>
      <c r="F743" s="19"/>
    </row>
    <row r="744">
      <c r="C744" s="24"/>
      <c r="E744" s="18"/>
      <c r="F744" s="19"/>
    </row>
    <row r="745">
      <c r="C745" s="24"/>
      <c r="E745" s="18"/>
      <c r="F745" s="19"/>
    </row>
    <row r="746">
      <c r="C746" s="24"/>
      <c r="E746" s="18"/>
      <c r="F746" s="19"/>
    </row>
    <row r="747">
      <c r="C747" s="24"/>
      <c r="E747" s="18"/>
      <c r="F747" s="19"/>
    </row>
    <row r="748">
      <c r="C748" s="24"/>
      <c r="E748" s="18"/>
      <c r="F748" s="19"/>
    </row>
    <row r="749">
      <c r="C749" s="24"/>
      <c r="E749" s="18"/>
      <c r="F749" s="19"/>
    </row>
    <row r="750">
      <c r="C750" s="24"/>
      <c r="E750" s="18"/>
      <c r="F750" s="19"/>
    </row>
    <row r="751">
      <c r="C751" s="24"/>
      <c r="E751" s="18"/>
      <c r="F751" s="19"/>
    </row>
    <row r="752">
      <c r="C752" s="24"/>
      <c r="E752" s="18"/>
      <c r="F752" s="19"/>
    </row>
    <row r="753">
      <c r="C753" s="24"/>
      <c r="E753" s="18"/>
      <c r="F753" s="19"/>
    </row>
    <row r="754">
      <c r="C754" s="24"/>
      <c r="E754" s="18"/>
      <c r="F754" s="19"/>
    </row>
    <row r="755">
      <c r="C755" s="24"/>
      <c r="E755" s="18"/>
      <c r="F755" s="19"/>
    </row>
    <row r="756">
      <c r="C756" s="24"/>
      <c r="E756" s="18"/>
      <c r="F756" s="19"/>
    </row>
    <row r="757">
      <c r="C757" s="24"/>
      <c r="E757" s="18"/>
      <c r="F757" s="19"/>
    </row>
    <row r="758">
      <c r="C758" s="24"/>
      <c r="E758" s="18"/>
      <c r="F758" s="19"/>
    </row>
    <row r="759">
      <c r="C759" s="24"/>
      <c r="E759" s="18"/>
      <c r="F759" s="19"/>
    </row>
    <row r="760">
      <c r="C760" s="24"/>
      <c r="E760" s="18"/>
      <c r="F760" s="19"/>
    </row>
    <row r="761">
      <c r="C761" s="24"/>
      <c r="E761" s="18"/>
      <c r="F761" s="19"/>
    </row>
    <row r="762">
      <c r="C762" s="24"/>
      <c r="E762" s="18"/>
      <c r="F762" s="19"/>
    </row>
    <row r="763">
      <c r="C763" s="24"/>
      <c r="E763" s="18"/>
      <c r="F763" s="19"/>
    </row>
    <row r="764">
      <c r="C764" s="24"/>
      <c r="E764" s="18"/>
      <c r="F764" s="19"/>
    </row>
    <row r="765">
      <c r="C765" s="24"/>
      <c r="E765" s="18"/>
      <c r="F765" s="19"/>
    </row>
    <row r="766">
      <c r="C766" s="24"/>
      <c r="E766" s="18"/>
      <c r="F766" s="19"/>
    </row>
    <row r="767">
      <c r="C767" s="24"/>
      <c r="E767" s="18"/>
      <c r="F767" s="19"/>
    </row>
    <row r="768">
      <c r="C768" s="24"/>
      <c r="E768" s="18"/>
      <c r="F768" s="19"/>
    </row>
    <row r="769">
      <c r="C769" s="24"/>
      <c r="E769" s="18"/>
      <c r="F769" s="19"/>
    </row>
    <row r="770">
      <c r="C770" s="24"/>
      <c r="E770" s="18"/>
      <c r="F770" s="19"/>
    </row>
    <row r="771">
      <c r="C771" s="24"/>
      <c r="E771" s="18"/>
      <c r="F771" s="19"/>
    </row>
    <row r="772">
      <c r="C772" s="24"/>
      <c r="E772" s="18"/>
      <c r="F772" s="19"/>
    </row>
    <row r="773">
      <c r="C773" s="24"/>
      <c r="E773" s="18"/>
      <c r="F773" s="19"/>
    </row>
    <row r="774">
      <c r="C774" s="24"/>
      <c r="E774" s="18"/>
      <c r="F774" s="19"/>
    </row>
    <row r="775">
      <c r="C775" s="24"/>
      <c r="E775" s="18"/>
      <c r="F775" s="19"/>
    </row>
    <row r="776">
      <c r="C776" s="24"/>
      <c r="E776" s="18"/>
      <c r="F776" s="19"/>
    </row>
    <row r="777">
      <c r="C777" s="24"/>
      <c r="E777" s="18"/>
      <c r="F777" s="19"/>
    </row>
    <row r="778">
      <c r="C778" s="24"/>
      <c r="E778" s="18"/>
      <c r="F778" s="19"/>
    </row>
    <row r="779">
      <c r="C779" s="24"/>
      <c r="E779" s="18"/>
      <c r="F779" s="19"/>
    </row>
    <row r="780">
      <c r="C780" s="24"/>
      <c r="E780" s="18"/>
      <c r="F780" s="19"/>
    </row>
    <row r="781">
      <c r="C781" s="24"/>
      <c r="E781" s="18"/>
      <c r="F781" s="19"/>
    </row>
    <row r="782">
      <c r="C782" s="24"/>
      <c r="E782" s="18"/>
      <c r="F782" s="19"/>
    </row>
    <row r="783">
      <c r="C783" s="24"/>
      <c r="E783" s="18"/>
      <c r="F783" s="19"/>
    </row>
    <row r="784">
      <c r="C784" s="24"/>
      <c r="E784" s="18"/>
      <c r="F784" s="19"/>
    </row>
    <row r="785">
      <c r="C785" s="24"/>
      <c r="E785" s="18"/>
      <c r="F785" s="19"/>
    </row>
    <row r="786">
      <c r="C786" s="24"/>
      <c r="E786" s="18"/>
      <c r="F786" s="19"/>
    </row>
    <row r="787">
      <c r="C787" s="24"/>
      <c r="E787" s="18"/>
      <c r="F787" s="19"/>
    </row>
    <row r="788">
      <c r="C788" s="24"/>
      <c r="E788" s="18"/>
      <c r="F788" s="19"/>
    </row>
    <row r="789">
      <c r="C789" s="24"/>
      <c r="E789" s="18"/>
      <c r="F789" s="19"/>
    </row>
    <row r="790">
      <c r="C790" s="24"/>
      <c r="E790" s="18"/>
      <c r="F790" s="19"/>
    </row>
    <row r="791">
      <c r="C791" s="24"/>
      <c r="E791" s="18"/>
      <c r="F791" s="19"/>
    </row>
    <row r="792">
      <c r="C792" s="24"/>
      <c r="E792" s="18"/>
      <c r="F792" s="19"/>
    </row>
    <row r="793">
      <c r="C793" s="24"/>
      <c r="E793" s="18"/>
      <c r="F793" s="19"/>
    </row>
    <row r="794">
      <c r="C794" s="24"/>
      <c r="E794" s="18"/>
      <c r="F794" s="19"/>
    </row>
    <row r="795">
      <c r="C795" s="24"/>
      <c r="E795" s="18"/>
      <c r="F795" s="19"/>
    </row>
    <row r="796">
      <c r="C796" s="24"/>
      <c r="E796" s="18"/>
      <c r="F796" s="19"/>
    </row>
    <row r="797">
      <c r="C797" s="24"/>
      <c r="E797" s="18"/>
      <c r="F797" s="19"/>
    </row>
    <row r="798">
      <c r="C798" s="24"/>
      <c r="E798" s="18"/>
      <c r="F798" s="19"/>
    </row>
    <row r="799">
      <c r="C799" s="24"/>
      <c r="E799" s="18"/>
      <c r="F799" s="19"/>
    </row>
    <row r="800">
      <c r="C800" s="24"/>
      <c r="E800" s="18"/>
      <c r="F800" s="19"/>
    </row>
    <row r="801">
      <c r="C801" s="24"/>
      <c r="E801" s="18"/>
      <c r="F801" s="19"/>
    </row>
    <row r="802">
      <c r="C802" s="24"/>
      <c r="E802" s="18"/>
      <c r="F802" s="19"/>
    </row>
    <row r="803">
      <c r="C803" s="24"/>
      <c r="E803" s="18"/>
      <c r="F803" s="19"/>
    </row>
    <row r="804">
      <c r="C804" s="24"/>
      <c r="E804" s="18"/>
      <c r="F804" s="19"/>
    </row>
    <row r="805">
      <c r="C805" s="24"/>
      <c r="E805" s="18"/>
      <c r="F805" s="19"/>
    </row>
    <row r="806">
      <c r="C806" s="24"/>
      <c r="E806" s="18"/>
      <c r="F806" s="19"/>
    </row>
    <row r="807">
      <c r="C807" s="24"/>
      <c r="E807" s="18"/>
      <c r="F807" s="19"/>
    </row>
    <row r="808">
      <c r="C808" s="24"/>
      <c r="E808" s="18"/>
      <c r="F808" s="19"/>
    </row>
    <row r="809">
      <c r="C809" s="24"/>
      <c r="E809" s="18"/>
      <c r="F809" s="19"/>
    </row>
    <row r="810">
      <c r="C810" s="24"/>
      <c r="E810" s="18"/>
      <c r="F810" s="19"/>
    </row>
    <row r="811">
      <c r="C811" s="24"/>
      <c r="E811" s="18"/>
      <c r="F811" s="19"/>
    </row>
    <row r="812">
      <c r="C812" s="24"/>
      <c r="E812" s="18"/>
      <c r="F812" s="19"/>
    </row>
    <row r="813">
      <c r="C813" s="24"/>
      <c r="E813" s="18"/>
      <c r="F813" s="19"/>
    </row>
    <row r="814">
      <c r="C814" s="24"/>
      <c r="E814" s="18"/>
      <c r="F814" s="19"/>
    </row>
    <row r="815">
      <c r="C815" s="24"/>
      <c r="E815" s="18"/>
      <c r="F815" s="19"/>
    </row>
    <row r="816">
      <c r="C816" s="24"/>
      <c r="E816" s="18"/>
      <c r="F816" s="19"/>
    </row>
    <row r="817">
      <c r="C817" s="24"/>
      <c r="E817" s="18"/>
      <c r="F817" s="19"/>
    </row>
    <row r="818">
      <c r="C818" s="24"/>
      <c r="E818" s="18"/>
      <c r="F818" s="19"/>
    </row>
    <row r="819">
      <c r="C819" s="24"/>
      <c r="E819" s="18"/>
      <c r="F819" s="19"/>
    </row>
    <row r="820">
      <c r="C820" s="24"/>
      <c r="E820" s="18"/>
      <c r="F820" s="19"/>
    </row>
    <row r="821">
      <c r="C821" s="24"/>
      <c r="E821" s="18"/>
      <c r="F821" s="19"/>
    </row>
    <row r="822">
      <c r="C822" s="24"/>
      <c r="E822" s="18"/>
      <c r="F822" s="19"/>
    </row>
    <row r="823">
      <c r="C823" s="24"/>
      <c r="E823" s="18"/>
      <c r="F823" s="19"/>
    </row>
    <row r="824">
      <c r="C824" s="24"/>
      <c r="E824" s="18"/>
      <c r="F824" s="19"/>
    </row>
    <row r="825">
      <c r="C825" s="24"/>
      <c r="E825" s="18"/>
      <c r="F825" s="19"/>
    </row>
    <row r="826">
      <c r="C826" s="24"/>
      <c r="E826" s="18"/>
      <c r="F826" s="19"/>
    </row>
    <row r="827">
      <c r="C827" s="24"/>
      <c r="E827" s="18"/>
      <c r="F827" s="19"/>
    </row>
    <row r="828">
      <c r="C828" s="24"/>
      <c r="E828" s="18"/>
      <c r="F828" s="19"/>
    </row>
    <row r="829">
      <c r="C829" s="24"/>
      <c r="E829" s="18"/>
      <c r="F829" s="19"/>
    </row>
    <row r="830">
      <c r="C830" s="24"/>
      <c r="E830" s="18"/>
      <c r="F830" s="19"/>
    </row>
    <row r="831">
      <c r="C831" s="24"/>
      <c r="E831" s="18"/>
      <c r="F831" s="19"/>
    </row>
    <row r="832">
      <c r="C832" s="24"/>
      <c r="E832" s="18"/>
      <c r="F832" s="19"/>
    </row>
    <row r="833">
      <c r="C833" s="24"/>
      <c r="E833" s="18"/>
      <c r="F833" s="19"/>
    </row>
    <row r="834">
      <c r="C834" s="24"/>
      <c r="E834" s="18"/>
      <c r="F834" s="19"/>
    </row>
    <row r="835">
      <c r="C835" s="24"/>
      <c r="E835" s="18"/>
      <c r="F835" s="19"/>
    </row>
    <row r="836">
      <c r="C836" s="24"/>
      <c r="E836" s="18"/>
      <c r="F836" s="19"/>
    </row>
    <row r="837">
      <c r="C837" s="24"/>
      <c r="E837" s="18"/>
      <c r="F837" s="19"/>
    </row>
    <row r="838">
      <c r="C838" s="24"/>
      <c r="E838" s="18"/>
      <c r="F838" s="19"/>
    </row>
    <row r="839">
      <c r="C839" s="24"/>
      <c r="E839" s="18"/>
      <c r="F839" s="19"/>
    </row>
    <row r="840">
      <c r="C840" s="24"/>
      <c r="E840" s="18"/>
      <c r="F840" s="19"/>
    </row>
    <row r="841">
      <c r="C841" s="24"/>
      <c r="E841" s="18"/>
      <c r="F841" s="19"/>
    </row>
    <row r="842">
      <c r="C842" s="24"/>
      <c r="E842" s="18"/>
      <c r="F842" s="19"/>
    </row>
    <row r="843">
      <c r="C843" s="24"/>
      <c r="E843" s="18"/>
      <c r="F843" s="19"/>
    </row>
    <row r="844">
      <c r="C844" s="24"/>
      <c r="E844" s="18"/>
      <c r="F844" s="19"/>
    </row>
    <row r="845">
      <c r="C845" s="24"/>
      <c r="E845" s="18"/>
      <c r="F845" s="19"/>
    </row>
    <row r="846">
      <c r="C846" s="24"/>
      <c r="E846" s="18"/>
      <c r="F846" s="19"/>
    </row>
    <row r="847">
      <c r="C847" s="24"/>
      <c r="E847" s="18"/>
      <c r="F847" s="19"/>
    </row>
    <row r="848">
      <c r="C848" s="24"/>
      <c r="E848" s="18"/>
      <c r="F848" s="19"/>
    </row>
    <row r="849">
      <c r="C849" s="24"/>
      <c r="E849" s="18"/>
      <c r="F849" s="19"/>
    </row>
    <row r="850">
      <c r="C850" s="24"/>
      <c r="E850" s="18"/>
      <c r="F850" s="19"/>
    </row>
    <row r="851">
      <c r="C851" s="24"/>
      <c r="E851" s="18"/>
      <c r="F851" s="19"/>
    </row>
    <row r="852">
      <c r="C852" s="24"/>
      <c r="E852" s="18"/>
      <c r="F852" s="19"/>
    </row>
    <row r="853">
      <c r="C853" s="24"/>
      <c r="E853" s="18"/>
      <c r="F853" s="19"/>
    </row>
    <row r="854">
      <c r="C854" s="24"/>
      <c r="E854" s="18"/>
      <c r="F854" s="19"/>
    </row>
    <row r="855">
      <c r="C855" s="24"/>
      <c r="E855" s="18"/>
      <c r="F855" s="19"/>
    </row>
    <row r="856">
      <c r="C856" s="24"/>
      <c r="E856" s="18"/>
      <c r="F856" s="19"/>
    </row>
    <row r="857">
      <c r="C857" s="24"/>
      <c r="E857" s="18"/>
      <c r="F857" s="19"/>
    </row>
    <row r="858">
      <c r="C858" s="24"/>
      <c r="E858" s="18"/>
      <c r="F858" s="19"/>
    </row>
    <row r="859">
      <c r="C859" s="24"/>
      <c r="E859" s="18"/>
      <c r="F859" s="19"/>
    </row>
    <row r="860">
      <c r="C860" s="24"/>
      <c r="E860" s="18"/>
      <c r="F860" s="19"/>
    </row>
    <row r="861">
      <c r="C861" s="24"/>
      <c r="E861" s="18"/>
      <c r="F861" s="19"/>
    </row>
    <row r="862">
      <c r="C862" s="24"/>
      <c r="E862" s="18"/>
      <c r="F862" s="19"/>
    </row>
    <row r="863">
      <c r="C863" s="24"/>
      <c r="E863" s="18"/>
      <c r="F863" s="19"/>
    </row>
    <row r="864">
      <c r="C864" s="24"/>
      <c r="E864" s="18"/>
      <c r="F864" s="19"/>
    </row>
    <row r="865">
      <c r="C865" s="24"/>
      <c r="E865" s="18"/>
      <c r="F865" s="19"/>
    </row>
    <row r="866">
      <c r="C866" s="24"/>
      <c r="E866" s="18"/>
      <c r="F866" s="19"/>
    </row>
    <row r="867">
      <c r="C867" s="24"/>
      <c r="E867" s="18"/>
      <c r="F867" s="19"/>
    </row>
    <row r="868">
      <c r="C868" s="24"/>
      <c r="E868" s="18"/>
      <c r="F868" s="19"/>
    </row>
    <row r="869">
      <c r="C869" s="24"/>
      <c r="E869" s="18"/>
      <c r="F869" s="19"/>
    </row>
    <row r="870">
      <c r="C870" s="24"/>
      <c r="E870" s="18"/>
      <c r="F870" s="19"/>
    </row>
    <row r="871">
      <c r="C871" s="24"/>
      <c r="E871" s="18"/>
      <c r="F871" s="19"/>
    </row>
    <row r="872">
      <c r="C872" s="24"/>
      <c r="E872" s="18"/>
      <c r="F872" s="19"/>
    </row>
    <row r="873">
      <c r="C873" s="24"/>
      <c r="E873" s="18"/>
      <c r="F873" s="19"/>
    </row>
    <row r="874">
      <c r="C874" s="24"/>
      <c r="E874" s="18"/>
      <c r="F874" s="19"/>
    </row>
    <row r="875">
      <c r="C875" s="24"/>
      <c r="E875" s="18"/>
      <c r="F875" s="19"/>
    </row>
    <row r="876">
      <c r="C876" s="24"/>
      <c r="E876" s="18"/>
      <c r="F876" s="19"/>
    </row>
    <row r="877">
      <c r="C877" s="24"/>
      <c r="E877" s="18"/>
      <c r="F877" s="19"/>
    </row>
    <row r="878">
      <c r="C878" s="24"/>
      <c r="E878" s="18"/>
      <c r="F878" s="19"/>
    </row>
    <row r="879">
      <c r="C879" s="24"/>
      <c r="E879" s="18"/>
      <c r="F879" s="19"/>
    </row>
    <row r="880">
      <c r="C880" s="24"/>
      <c r="E880" s="18"/>
      <c r="F880" s="19"/>
    </row>
    <row r="881">
      <c r="C881" s="24"/>
      <c r="E881" s="18"/>
      <c r="F881" s="19"/>
    </row>
    <row r="882">
      <c r="C882" s="24"/>
      <c r="E882" s="18"/>
      <c r="F882" s="19"/>
    </row>
    <row r="883">
      <c r="C883" s="24"/>
      <c r="E883" s="18"/>
      <c r="F883" s="19"/>
    </row>
    <row r="884">
      <c r="C884" s="24"/>
      <c r="E884" s="18"/>
      <c r="F884" s="19"/>
    </row>
    <row r="885">
      <c r="C885" s="24"/>
      <c r="E885" s="18"/>
      <c r="F885" s="19"/>
    </row>
    <row r="886">
      <c r="C886" s="24"/>
      <c r="E886" s="18"/>
      <c r="F886" s="19"/>
    </row>
    <row r="887">
      <c r="C887" s="24"/>
      <c r="E887" s="18"/>
      <c r="F887" s="19"/>
    </row>
    <row r="888">
      <c r="C888" s="24"/>
      <c r="E888" s="18"/>
      <c r="F888" s="19"/>
    </row>
    <row r="889">
      <c r="C889" s="24"/>
      <c r="E889" s="18"/>
      <c r="F889" s="19"/>
    </row>
    <row r="890">
      <c r="C890" s="24"/>
      <c r="E890" s="18"/>
      <c r="F890" s="19"/>
    </row>
    <row r="891">
      <c r="C891" s="24"/>
      <c r="E891" s="18"/>
      <c r="F891" s="19"/>
    </row>
    <row r="892">
      <c r="C892" s="24"/>
      <c r="E892" s="18"/>
      <c r="F892" s="19"/>
    </row>
    <row r="893">
      <c r="C893" s="24"/>
      <c r="E893" s="18"/>
      <c r="F893" s="19"/>
    </row>
    <row r="894">
      <c r="C894" s="24"/>
      <c r="E894" s="18"/>
      <c r="F894" s="19"/>
    </row>
    <row r="895">
      <c r="C895" s="24"/>
      <c r="E895" s="18"/>
      <c r="F895" s="19"/>
    </row>
    <row r="896">
      <c r="C896" s="24"/>
      <c r="E896" s="18"/>
      <c r="F896" s="19"/>
    </row>
    <row r="897">
      <c r="C897" s="24"/>
      <c r="E897" s="18"/>
      <c r="F897" s="19"/>
    </row>
    <row r="898">
      <c r="C898" s="24"/>
      <c r="E898" s="18"/>
      <c r="F898" s="19"/>
    </row>
    <row r="899">
      <c r="C899" s="24"/>
      <c r="E899" s="18"/>
      <c r="F899" s="19"/>
    </row>
    <row r="900">
      <c r="C900" s="24"/>
      <c r="E900" s="18"/>
      <c r="F900" s="19"/>
    </row>
    <row r="901">
      <c r="C901" s="24"/>
      <c r="E901" s="18"/>
      <c r="F901" s="19"/>
    </row>
    <row r="902">
      <c r="C902" s="24"/>
      <c r="E902" s="18"/>
      <c r="F902" s="19"/>
    </row>
    <row r="903">
      <c r="C903" s="24"/>
      <c r="E903" s="18"/>
      <c r="F903" s="19"/>
    </row>
    <row r="904">
      <c r="C904" s="24"/>
      <c r="E904" s="18"/>
      <c r="F904" s="19"/>
    </row>
    <row r="905">
      <c r="C905" s="24"/>
      <c r="E905" s="18"/>
      <c r="F905" s="19"/>
    </row>
    <row r="906">
      <c r="C906" s="24"/>
      <c r="E906" s="18"/>
      <c r="F906" s="19"/>
    </row>
    <row r="907">
      <c r="C907" s="24"/>
      <c r="E907" s="18"/>
      <c r="F907" s="19"/>
    </row>
    <row r="908">
      <c r="C908" s="24"/>
      <c r="E908" s="18"/>
      <c r="F908" s="19"/>
    </row>
    <row r="909">
      <c r="C909" s="24"/>
      <c r="E909" s="18"/>
      <c r="F909" s="19"/>
    </row>
    <row r="910">
      <c r="C910" s="24"/>
      <c r="E910" s="18"/>
      <c r="F910" s="19"/>
    </row>
    <row r="911">
      <c r="C911" s="24"/>
      <c r="E911" s="18"/>
      <c r="F911" s="19"/>
    </row>
    <row r="912">
      <c r="C912" s="24"/>
      <c r="E912" s="18"/>
      <c r="F912" s="19"/>
    </row>
    <row r="913">
      <c r="C913" s="24"/>
      <c r="E913" s="18"/>
      <c r="F913" s="19"/>
    </row>
    <row r="914">
      <c r="C914" s="24"/>
      <c r="E914" s="18"/>
      <c r="F914" s="19"/>
    </row>
    <row r="915">
      <c r="C915" s="24"/>
      <c r="E915" s="18"/>
      <c r="F915" s="19"/>
    </row>
    <row r="916">
      <c r="C916" s="24"/>
      <c r="E916" s="18"/>
      <c r="F916" s="19"/>
    </row>
    <row r="917">
      <c r="C917" s="24"/>
      <c r="E917" s="18"/>
      <c r="F917" s="19"/>
    </row>
    <row r="918">
      <c r="C918" s="24"/>
      <c r="E918" s="18"/>
      <c r="F918" s="19"/>
    </row>
    <row r="919">
      <c r="C919" s="24"/>
      <c r="E919" s="18"/>
      <c r="F919" s="19"/>
    </row>
    <row r="920">
      <c r="C920" s="24"/>
      <c r="E920" s="18"/>
      <c r="F920" s="19"/>
    </row>
    <row r="921">
      <c r="C921" s="24"/>
      <c r="E921" s="18"/>
      <c r="F921" s="19"/>
    </row>
    <row r="922">
      <c r="C922" s="24"/>
      <c r="E922" s="18"/>
      <c r="F922" s="19"/>
    </row>
    <row r="923">
      <c r="C923" s="24"/>
      <c r="E923" s="18"/>
      <c r="F923" s="19"/>
    </row>
    <row r="924">
      <c r="C924" s="24"/>
      <c r="E924" s="18"/>
      <c r="F924" s="19"/>
    </row>
    <row r="925">
      <c r="C925" s="24"/>
      <c r="E925" s="18"/>
      <c r="F925" s="19"/>
    </row>
    <row r="926">
      <c r="C926" s="24"/>
      <c r="E926" s="18"/>
      <c r="F926" s="19"/>
    </row>
    <row r="927">
      <c r="C927" s="24"/>
      <c r="E927" s="18"/>
      <c r="F927" s="19"/>
    </row>
    <row r="928">
      <c r="C928" s="24"/>
      <c r="E928" s="18"/>
      <c r="F928" s="19"/>
    </row>
    <row r="929">
      <c r="C929" s="24"/>
      <c r="E929" s="18"/>
      <c r="F929" s="19"/>
    </row>
    <row r="930">
      <c r="C930" s="24"/>
      <c r="E930" s="18"/>
      <c r="F930" s="19"/>
    </row>
    <row r="931">
      <c r="C931" s="24"/>
      <c r="E931" s="18"/>
      <c r="F931" s="19"/>
    </row>
    <row r="932">
      <c r="C932" s="24"/>
      <c r="E932" s="18"/>
      <c r="F932" s="19"/>
    </row>
    <row r="933">
      <c r="C933" s="24"/>
      <c r="E933" s="18"/>
      <c r="F933" s="19"/>
    </row>
    <row r="934">
      <c r="C934" s="24"/>
      <c r="E934" s="18"/>
      <c r="F934" s="19"/>
    </row>
    <row r="935">
      <c r="C935" s="24"/>
      <c r="E935" s="18"/>
      <c r="F935" s="19"/>
    </row>
    <row r="936">
      <c r="C936" s="24"/>
      <c r="E936" s="18"/>
      <c r="F936" s="19"/>
    </row>
    <row r="937">
      <c r="C937" s="24"/>
      <c r="E937" s="18"/>
      <c r="F937" s="19"/>
    </row>
    <row r="938">
      <c r="C938" s="24"/>
      <c r="E938" s="18"/>
      <c r="F938" s="19"/>
    </row>
    <row r="939">
      <c r="C939" s="24"/>
      <c r="E939" s="18"/>
      <c r="F939" s="19"/>
    </row>
    <row r="940">
      <c r="C940" s="24"/>
      <c r="E940" s="18"/>
      <c r="F940" s="19"/>
    </row>
    <row r="941">
      <c r="C941" s="24"/>
      <c r="E941" s="18"/>
      <c r="F941" s="19"/>
    </row>
    <row r="942">
      <c r="C942" s="24"/>
      <c r="E942" s="18"/>
      <c r="F942" s="19"/>
    </row>
    <row r="943">
      <c r="C943" s="24"/>
      <c r="E943" s="18"/>
      <c r="F943" s="19"/>
    </row>
    <row r="944">
      <c r="C944" s="24"/>
      <c r="E944" s="18"/>
      <c r="F944" s="19"/>
    </row>
    <row r="945">
      <c r="C945" s="24"/>
      <c r="E945" s="18"/>
      <c r="F945" s="19"/>
    </row>
    <row r="946">
      <c r="C946" s="24"/>
      <c r="E946" s="18"/>
      <c r="F946" s="19"/>
    </row>
    <row r="947">
      <c r="C947" s="24"/>
      <c r="E947" s="18"/>
      <c r="F947" s="19"/>
    </row>
    <row r="948">
      <c r="C948" s="24"/>
      <c r="E948" s="18"/>
      <c r="F948" s="19"/>
    </row>
    <row r="949">
      <c r="C949" s="24"/>
      <c r="E949" s="18"/>
      <c r="F949" s="19"/>
    </row>
    <row r="950">
      <c r="C950" s="24"/>
      <c r="E950" s="18"/>
      <c r="F950" s="19"/>
    </row>
    <row r="951">
      <c r="C951" s="24"/>
      <c r="E951" s="18"/>
      <c r="F951" s="19"/>
    </row>
    <row r="952">
      <c r="C952" s="24"/>
      <c r="E952" s="18"/>
      <c r="F952" s="19"/>
    </row>
    <row r="953">
      <c r="C953" s="24"/>
      <c r="E953" s="18"/>
      <c r="F953" s="19"/>
    </row>
    <row r="954">
      <c r="C954" s="24"/>
      <c r="E954" s="18"/>
      <c r="F954" s="19"/>
    </row>
    <row r="955">
      <c r="C955" s="24"/>
      <c r="E955" s="18"/>
      <c r="F955" s="19"/>
    </row>
    <row r="956">
      <c r="C956" s="24"/>
      <c r="E956" s="18"/>
      <c r="F956" s="19"/>
    </row>
    <row r="957">
      <c r="C957" s="24"/>
      <c r="E957" s="18"/>
      <c r="F957" s="19"/>
    </row>
    <row r="958">
      <c r="C958" s="24"/>
      <c r="E958" s="18"/>
      <c r="F958" s="19"/>
    </row>
    <row r="959">
      <c r="C959" s="24"/>
      <c r="E959" s="18"/>
      <c r="F959" s="19"/>
    </row>
    <row r="960">
      <c r="C960" s="24"/>
      <c r="E960" s="18"/>
      <c r="F960" s="19"/>
    </row>
    <row r="961">
      <c r="C961" s="24"/>
      <c r="E961" s="18"/>
      <c r="F961" s="19"/>
    </row>
    <row r="962">
      <c r="C962" s="24"/>
      <c r="E962" s="18"/>
      <c r="F962" s="19"/>
    </row>
    <row r="963">
      <c r="C963" s="24"/>
      <c r="E963" s="18"/>
      <c r="F963" s="19"/>
    </row>
    <row r="964">
      <c r="C964" s="24"/>
      <c r="E964" s="18"/>
      <c r="F964" s="19"/>
    </row>
    <row r="965">
      <c r="C965" s="24"/>
      <c r="E965" s="18"/>
      <c r="F965" s="19"/>
    </row>
    <row r="966">
      <c r="C966" s="24"/>
      <c r="E966" s="18"/>
      <c r="F966" s="19"/>
    </row>
    <row r="967">
      <c r="C967" s="24"/>
      <c r="E967" s="18"/>
      <c r="F967" s="19"/>
    </row>
    <row r="968">
      <c r="C968" s="24"/>
      <c r="E968" s="18"/>
      <c r="F968" s="19"/>
    </row>
    <row r="969">
      <c r="C969" s="24"/>
      <c r="E969" s="18"/>
      <c r="F969" s="19"/>
    </row>
    <row r="970">
      <c r="C970" s="24"/>
      <c r="E970" s="18"/>
      <c r="F970" s="19"/>
    </row>
    <row r="971">
      <c r="C971" s="24"/>
      <c r="E971" s="18"/>
      <c r="F971" s="19"/>
    </row>
    <row r="972">
      <c r="C972" s="24"/>
      <c r="E972" s="18"/>
      <c r="F972" s="19"/>
    </row>
    <row r="973">
      <c r="C973" s="24"/>
      <c r="E973" s="18"/>
      <c r="F973" s="19"/>
    </row>
    <row r="974">
      <c r="C974" s="24"/>
      <c r="E974" s="18"/>
      <c r="F974" s="19"/>
    </row>
    <row r="975">
      <c r="C975" s="24"/>
      <c r="E975" s="18"/>
      <c r="F975" s="19"/>
    </row>
    <row r="976">
      <c r="C976" s="24"/>
      <c r="E976" s="18"/>
      <c r="F976" s="19"/>
    </row>
    <row r="977">
      <c r="C977" s="24"/>
      <c r="E977" s="18"/>
      <c r="F977" s="19"/>
    </row>
    <row r="978">
      <c r="C978" s="24"/>
      <c r="E978" s="18"/>
      <c r="F978" s="19"/>
    </row>
    <row r="979">
      <c r="C979" s="24"/>
      <c r="E979" s="18"/>
      <c r="F979" s="19"/>
    </row>
    <row r="980">
      <c r="C980" s="24"/>
      <c r="E980" s="18"/>
      <c r="F980" s="19"/>
    </row>
    <row r="981">
      <c r="C981" s="24"/>
      <c r="E981" s="18"/>
      <c r="F981" s="19"/>
    </row>
    <row r="982">
      <c r="C982" s="24"/>
      <c r="E982" s="18"/>
      <c r="F982" s="19"/>
    </row>
    <row r="983">
      <c r="C983" s="24"/>
      <c r="E983" s="18"/>
      <c r="F983" s="19"/>
    </row>
    <row r="984">
      <c r="C984" s="24"/>
      <c r="E984" s="18"/>
      <c r="F984" s="19"/>
    </row>
    <row r="985">
      <c r="C985" s="24"/>
      <c r="E985" s="18"/>
      <c r="F985" s="19"/>
    </row>
    <row r="986">
      <c r="C986" s="24"/>
      <c r="E986" s="18"/>
      <c r="F986" s="19"/>
    </row>
    <row r="987">
      <c r="C987" s="24"/>
      <c r="E987" s="18"/>
      <c r="F987" s="19"/>
    </row>
    <row r="988">
      <c r="C988" s="24"/>
      <c r="E988" s="18"/>
      <c r="F988" s="19"/>
    </row>
    <row r="989">
      <c r="C989" s="24"/>
      <c r="E989" s="18"/>
      <c r="F989" s="19"/>
    </row>
    <row r="990">
      <c r="C990" s="24"/>
      <c r="E990" s="18"/>
      <c r="F990" s="19"/>
    </row>
    <row r="991">
      <c r="C991" s="24"/>
      <c r="E991" s="18"/>
      <c r="F991" s="19"/>
    </row>
    <row r="992">
      <c r="C992" s="24"/>
      <c r="E992" s="18"/>
      <c r="F992" s="19"/>
    </row>
    <row r="993">
      <c r="C993" s="24"/>
      <c r="E993" s="18"/>
      <c r="F993" s="19"/>
    </row>
    <row r="994">
      <c r="C994" s="24"/>
      <c r="E994" s="18"/>
      <c r="F994" s="19"/>
    </row>
    <row r="995">
      <c r="C995" s="24"/>
      <c r="E995" s="18"/>
      <c r="F995" s="19"/>
    </row>
    <row r="996">
      <c r="C996" s="24"/>
      <c r="E996" s="18"/>
      <c r="F996" s="19"/>
    </row>
    <row r="997">
      <c r="C997" s="24"/>
      <c r="E997" s="18"/>
      <c r="F997" s="19"/>
    </row>
    <row r="998">
      <c r="C998" s="24"/>
      <c r="E998" s="18"/>
      <c r="F998" s="19"/>
    </row>
    <row r="999">
      <c r="C999" s="24"/>
      <c r="E999" s="18"/>
      <c r="F999" s="19"/>
    </row>
    <row r="1000">
      <c r="C1000" s="24"/>
      <c r="E1000" s="18"/>
      <c r="F1000" s="1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"/>
      <c r="B1" s="11" t="s">
        <v>278</v>
      </c>
      <c r="C1" s="11" t="s">
        <v>21</v>
      </c>
      <c r="D1" s="11" t="s">
        <v>23</v>
      </c>
      <c r="E1" s="11" t="s">
        <v>24</v>
      </c>
      <c r="F1" s="11" t="s">
        <v>279</v>
      </c>
      <c r="G1" s="11" t="s">
        <v>280</v>
      </c>
      <c r="H1" s="11" t="s">
        <v>281</v>
      </c>
      <c r="I1" s="11" t="s">
        <v>61</v>
      </c>
      <c r="J1" s="9" t="s">
        <v>282</v>
      </c>
      <c r="K1" s="11" t="s">
        <v>61</v>
      </c>
      <c r="L1" s="11"/>
    </row>
    <row r="2">
      <c r="A2" s="35">
        <v>1.0</v>
      </c>
      <c r="B2" s="36">
        <v>43131.85231552084</v>
      </c>
      <c r="C2" s="11" t="s">
        <v>28</v>
      </c>
      <c r="D2" s="11" t="s">
        <v>29</v>
      </c>
      <c r="E2" s="11" t="s">
        <v>30</v>
      </c>
      <c r="F2" s="11" t="s">
        <v>283</v>
      </c>
      <c r="G2" s="37">
        <v>7.0</v>
      </c>
      <c r="H2" s="11" t="s">
        <v>284</v>
      </c>
      <c r="I2" s="37">
        <v>5.09756324E8</v>
      </c>
      <c r="J2" s="11" t="s">
        <v>61</v>
      </c>
      <c r="K2" s="17" t="str">
        <f t="shared" ref="K2:K104" si="1">RIGHT(I2,7)</f>
        <v>9756324</v>
      </c>
      <c r="L2" s="11" t="str">
        <f t="shared" ref="L2:L105" si="2">RIGHT(K2,6)</f>
        <v>756324</v>
      </c>
    </row>
    <row r="3">
      <c r="A3" s="35">
        <v>2.0</v>
      </c>
      <c r="B3" s="36">
        <v>43131.89415258102</v>
      </c>
      <c r="C3" s="11" t="s">
        <v>285</v>
      </c>
      <c r="D3" s="11" t="s">
        <v>32</v>
      </c>
      <c r="E3" s="11" t="s">
        <v>33</v>
      </c>
      <c r="F3" s="37">
        <v>17.0</v>
      </c>
      <c r="G3" s="37">
        <v>7.0</v>
      </c>
      <c r="H3" s="11" t="s">
        <v>286</v>
      </c>
      <c r="I3" s="37">
        <v>9.72175876E8</v>
      </c>
      <c r="J3" s="11" t="s">
        <v>287</v>
      </c>
      <c r="K3" s="17" t="str">
        <f t="shared" si="1"/>
        <v>2175876</v>
      </c>
      <c r="L3" s="11" t="str">
        <f t="shared" si="2"/>
        <v>175876</v>
      </c>
    </row>
    <row r="4">
      <c r="A4" s="35">
        <v>3.0</v>
      </c>
      <c r="B4" s="36">
        <v>43132.46259098379</v>
      </c>
      <c r="C4" s="11" t="s">
        <v>34</v>
      </c>
      <c r="D4" s="11" t="s">
        <v>35</v>
      </c>
      <c r="E4" s="11" t="s">
        <v>36</v>
      </c>
      <c r="F4" s="37">
        <v>17.0</v>
      </c>
      <c r="G4" s="37">
        <v>7.0</v>
      </c>
      <c r="H4" s="11" t="s">
        <v>288</v>
      </c>
      <c r="I4" s="37">
        <v>9.7484754E8</v>
      </c>
      <c r="J4" s="11" t="s">
        <v>287</v>
      </c>
      <c r="K4" s="17" t="str">
        <f t="shared" si="1"/>
        <v>4847540</v>
      </c>
      <c r="L4" s="11" t="str">
        <f t="shared" si="2"/>
        <v>847540</v>
      </c>
    </row>
    <row r="5">
      <c r="A5" s="35">
        <v>4.0</v>
      </c>
      <c r="B5" s="36">
        <v>43133.55145896991</v>
      </c>
      <c r="C5" s="11" t="s">
        <v>37</v>
      </c>
      <c r="D5" s="11" t="s">
        <v>38</v>
      </c>
      <c r="E5" s="11" t="s">
        <v>39</v>
      </c>
      <c r="F5" s="37">
        <v>17.0</v>
      </c>
      <c r="G5" s="37">
        <v>7.0</v>
      </c>
      <c r="H5" s="11" t="s">
        <v>289</v>
      </c>
      <c r="I5" s="37">
        <v>6.77235957E8</v>
      </c>
      <c r="J5" s="11" t="s">
        <v>61</v>
      </c>
      <c r="K5" s="17" t="str">
        <f t="shared" si="1"/>
        <v>7235957</v>
      </c>
      <c r="L5" s="11" t="str">
        <f t="shared" si="2"/>
        <v>235957</v>
      </c>
    </row>
    <row r="6">
      <c r="A6" s="35">
        <v>5.0</v>
      </c>
      <c r="B6" s="36">
        <v>43134.5253403588</v>
      </c>
      <c r="C6" s="11" t="s">
        <v>40</v>
      </c>
      <c r="D6" s="11" t="s">
        <v>41</v>
      </c>
      <c r="E6" s="11" t="s">
        <v>42</v>
      </c>
      <c r="F6" s="11" t="s">
        <v>290</v>
      </c>
      <c r="G6" s="37">
        <v>7.0</v>
      </c>
      <c r="H6" s="11" t="s">
        <v>291</v>
      </c>
      <c r="I6" s="11" t="s">
        <v>79</v>
      </c>
      <c r="J6" s="11" t="s">
        <v>61</v>
      </c>
      <c r="K6" s="17" t="str">
        <f t="shared" si="1"/>
        <v>9221389</v>
      </c>
      <c r="L6" s="11" t="str">
        <f t="shared" si="2"/>
        <v>221389</v>
      </c>
    </row>
    <row r="7">
      <c r="A7" s="35">
        <v>6.0</v>
      </c>
      <c r="B7" s="36">
        <v>43134.93311884259</v>
      </c>
      <c r="C7" s="11" t="s">
        <v>43</v>
      </c>
      <c r="D7" s="11" t="s">
        <v>44</v>
      </c>
      <c r="E7" s="11" t="s">
        <v>45</v>
      </c>
      <c r="F7" s="11" t="s">
        <v>292</v>
      </c>
      <c r="G7" s="37">
        <v>8.0</v>
      </c>
      <c r="H7" s="11" t="s">
        <v>293</v>
      </c>
      <c r="I7" s="11" t="s">
        <v>81</v>
      </c>
      <c r="J7" s="11" t="s">
        <v>61</v>
      </c>
      <c r="K7" s="17" t="str">
        <f t="shared" si="1"/>
        <v>5008696</v>
      </c>
      <c r="L7" s="11" t="str">
        <f t="shared" si="2"/>
        <v>008696</v>
      </c>
    </row>
    <row r="8">
      <c r="A8" s="35">
        <v>7.0</v>
      </c>
      <c r="B8" s="36">
        <v>43135.61389876157</v>
      </c>
      <c r="C8" s="11" t="s">
        <v>46</v>
      </c>
      <c r="D8" s="11" t="s">
        <v>47</v>
      </c>
      <c r="E8" s="11" t="s">
        <v>294</v>
      </c>
      <c r="F8" s="11" t="s">
        <v>295</v>
      </c>
      <c r="G8" s="37">
        <v>10.0</v>
      </c>
      <c r="H8" s="11" t="s">
        <v>296</v>
      </c>
      <c r="I8" s="11" t="s">
        <v>84</v>
      </c>
      <c r="J8" s="11" t="s">
        <v>287</v>
      </c>
      <c r="K8" s="17" t="str">
        <f t="shared" si="1"/>
        <v>8805222</v>
      </c>
      <c r="L8" s="11" t="str">
        <f t="shared" si="2"/>
        <v>805222</v>
      </c>
    </row>
    <row r="9">
      <c r="A9" s="35">
        <v>8.0</v>
      </c>
      <c r="B9" s="36">
        <v>43135.65670784722</v>
      </c>
      <c r="C9" s="11" t="s">
        <v>49</v>
      </c>
      <c r="D9" s="11" t="s">
        <v>50</v>
      </c>
      <c r="E9" s="11" t="s">
        <v>51</v>
      </c>
      <c r="F9" s="11" t="s">
        <v>297</v>
      </c>
      <c r="G9" s="37">
        <v>10.0</v>
      </c>
      <c r="H9" s="11" t="s">
        <v>298</v>
      </c>
      <c r="I9" s="11" t="s">
        <v>86</v>
      </c>
      <c r="J9" s="11" t="s">
        <v>281</v>
      </c>
      <c r="K9" s="17" t="str">
        <f t="shared" si="1"/>
        <v>7352238</v>
      </c>
      <c r="L9" s="11" t="str">
        <f t="shared" si="2"/>
        <v>352238</v>
      </c>
    </row>
    <row r="10">
      <c r="A10" s="35">
        <v>9.0</v>
      </c>
      <c r="B10" s="36">
        <v>43136.794014375</v>
      </c>
      <c r="C10" s="11" t="s">
        <v>52</v>
      </c>
      <c r="D10" s="11" t="s">
        <v>38</v>
      </c>
      <c r="E10" s="11" t="s">
        <v>299</v>
      </c>
      <c r="F10" s="11" t="s">
        <v>290</v>
      </c>
      <c r="G10" s="37">
        <v>7.0</v>
      </c>
      <c r="H10" s="11" t="s">
        <v>300</v>
      </c>
      <c r="I10" s="37">
        <v>6.73961683E8</v>
      </c>
      <c r="J10" s="11" t="s">
        <v>61</v>
      </c>
      <c r="K10" s="17" t="str">
        <f t="shared" si="1"/>
        <v>3961683</v>
      </c>
      <c r="L10" s="11" t="str">
        <f t="shared" si="2"/>
        <v>961683</v>
      </c>
    </row>
    <row r="11">
      <c r="A11" s="35">
        <v>10.0</v>
      </c>
      <c r="B11" s="36">
        <v>43136.79416273149</v>
      </c>
      <c r="C11" s="11" t="s">
        <v>52</v>
      </c>
      <c r="D11" s="11" t="s">
        <v>38</v>
      </c>
      <c r="E11" s="11" t="s">
        <v>299</v>
      </c>
      <c r="F11" s="11" t="s">
        <v>290</v>
      </c>
      <c r="G11" s="37">
        <v>7.0</v>
      </c>
      <c r="H11" s="11" t="s">
        <v>300</v>
      </c>
      <c r="I11" s="37">
        <v>6.73961683E8</v>
      </c>
      <c r="J11" s="11" t="s">
        <v>61</v>
      </c>
      <c r="K11" s="17" t="str">
        <f t="shared" si="1"/>
        <v>3961683</v>
      </c>
      <c r="L11" s="11" t="str">
        <f t="shared" si="2"/>
        <v>961683</v>
      </c>
    </row>
    <row r="12">
      <c r="A12" s="35">
        <v>11.0</v>
      </c>
      <c r="B12" s="36">
        <v>43138.76526143518</v>
      </c>
      <c r="C12" s="11" t="s">
        <v>28</v>
      </c>
      <c r="D12" s="11" t="s">
        <v>29</v>
      </c>
      <c r="E12" s="11" t="s">
        <v>30</v>
      </c>
      <c r="F12" s="11" t="s">
        <v>290</v>
      </c>
      <c r="G12" s="37">
        <v>7.0</v>
      </c>
      <c r="H12" s="11" t="s">
        <v>284</v>
      </c>
      <c r="I12" s="37">
        <v>5.09756324E8</v>
      </c>
      <c r="J12" s="11" t="s">
        <v>287</v>
      </c>
      <c r="K12" s="17" t="str">
        <f t="shared" si="1"/>
        <v>9756324</v>
      </c>
      <c r="L12" s="11" t="str">
        <f t="shared" si="2"/>
        <v>756324</v>
      </c>
    </row>
    <row r="13">
      <c r="A13" s="35">
        <v>12.0</v>
      </c>
      <c r="B13" s="36">
        <v>43142.889376226856</v>
      </c>
      <c r="C13" s="11" t="s">
        <v>54</v>
      </c>
      <c r="D13" s="11" t="s">
        <v>55</v>
      </c>
      <c r="E13" s="11" t="s">
        <v>56</v>
      </c>
      <c r="F13" s="37">
        <v>17.0</v>
      </c>
      <c r="G13" s="37">
        <v>7.0</v>
      </c>
      <c r="H13" s="11" t="s">
        <v>301</v>
      </c>
      <c r="I13" s="11" t="s">
        <v>90</v>
      </c>
      <c r="J13" s="11" t="s">
        <v>61</v>
      </c>
      <c r="K13" s="17" t="str">
        <f t="shared" si="1"/>
        <v>4177621</v>
      </c>
      <c r="L13" s="11" t="str">
        <f t="shared" si="2"/>
        <v>177621</v>
      </c>
    </row>
    <row r="14">
      <c r="A14" s="35">
        <v>13.0</v>
      </c>
      <c r="B14" s="36">
        <v>43152.63986490741</v>
      </c>
      <c r="C14" s="11" t="s">
        <v>57</v>
      </c>
      <c r="D14" s="11" t="s">
        <v>58</v>
      </c>
      <c r="E14" s="11" t="s">
        <v>59</v>
      </c>
      <c r="F14" s="11" t="s">
        <v>302</v>
      </c>
      <c r="G14" s="37">
        <v>10.0</v>
      </c>
      <c r="H14" s="11" t="s">
        <v>303</v>
      </c>
      <c r="I14" s="11" t="s">
        <v>97</v>
      </c>
      <c r="J14" s="11" t="s">
        <v>287</v>
      </c>
      <c r="K14" s="17" t="str">
        <f t="shared" si="1"/>
        <v>0181270</v>
      </c>
      <c r="L14" s="11" t="str">
        <f t="shared" si="2"/>
        <v>181270</v>
      </c>
    </row>
    <row r="15">
      <c r="A15" s="35">
        <v>14.0</v>
      </c>
      <c r="B15" s="36">
        <v>43158.51678109953</v>
      </c>
      <c r="C15" s="11" t="s">
        <v>37</v>
      </c>
      <c r="D15" s="11" t="s">
        <v>38</v>
      </c>
      <c r="E15" s="11" t="s">
        <v>39</v>
      </c>
      <c r="F15" s="37">
        <v>17.0</v>
      </c>
      <c r="G15" s="37">
        <v>7.0</v>
      </c>
      <c r="H15" s="11" t="s">
        <v>304</v>
      </c>
      <c r="I15" s="11" t="s">
        <v>101</v>
      </c>
      <c r="J15" s="11" t="s">
        <v>287</v>
      </c>
      <c r="K15" s="17" t="str">
        <f t="shared" si="1"/>
        <v>0424742</v>
      </c>
      <c r="L15" s="11" t="str">
        <f t="shared" si="2"/>
        <v>424742</v>
      </c>
    </row>
    <row r="16">
      <c r="A16" s="35">
        <v>15.0</v>
      </c>
      <c r="B16" s="36">
        <v>43170.80562697917</v>
      </c>
      <c r="C16" s="11" t="s">
        <v>62</v>
      </c>
      <c r="D16" s="11" t="s">
        <v>64</v>
      </c>
      <c r="E16" s="11" t="s">
        <v>48</v>
      </c>
      <c r="F16" s="37">
        <v>13.0</v>
      </c>
      <c r="G16" s="37">
        <v>7.0</v>
      </c>
      <c r="H16" s="11" t="s">
        <v>305</v>
      </c>
      <c r="I16" s="37">
        <v>6.83898299E8</v>
      </c>
      <c r="J16" s="11" t="s">
        <v>61</v>
      </c>
      <c r="K16" s="17" t="str">
        <f t="shared" si="1"/>
        <v>3898299</v>
      </c>
      <c r="L16" s="11" t="str">
        <f t="shared" si="2"/>
        <v>898299</v>
      </c>
    </row>
    <row r="17">
      <c r="A17" s="35">
        <v>16.0</v>
      </c>
      <c r="B17" s="36">
        <v>43178.333303391206</v>
      </c>
      <c r="C17" s="11" t="s">
        <v>65</v>
      </c>
      <c r="D17" s="11" t="s">
        <v>66</v>
      </c>
      <c r="E17" s="11" t="s">
        <v>67</v>
      </c>
      <c r="F17" s="37">
        <v>17.0</v>
      </c>
      <c r="G17" s="37">
        <v>7.0</v>
      </c>
      <c r="H17" s="38" t="s">
        <v>306</v>
      </c>
      <c r="I17" s="37">
        <v>9.8220401E8</v>
      </c>
      <c r="J17" s="11" t="s">
        <v>61</v>
      </c>
      <c r="K17" s="17" t="str">
        <f t="shared" si="1"/>
        <v>2204010</v>
      </c>
      <c r="L17" s="11" t="str">
        <f t="shared" si="2"/>
        <v>204010</v>
      </c>
    </row>
    <row r="18">
      <c r="A18" s="35">
        <v>17.0</v>
      </c>
      <c r="B18" s="36">
        <v>43178.80573475694</v>
      </c>
      <c r="C18" s="11" t="s">
        <v>68</v>
      </c>
      <c r="D18" s="11" t="s">
        <v>69</v>
      </c>
      <c r="E18" s="11" t="s">
        <v>70</v>
      </c>
      <c r="F18" s="11" t="s">
        <v>307</v>
      </c>
      <c r="G18" s="37">
        <v>7.0</v>
      </c>
      <c r="H18" s="11" t="s">
        <v>308</v>
      </c>
      <c r="I18" s="37">
        <v>3.80969205729E11</v>
      </c>
      <c r="J18" s="11" t="s">
        <v>61</v>
      </c>
      <c r="K18" s="17" t="str">
        <f t="shared" si="1"/>
        <v>9205729</v>
      </c>
      <c r="L18" s="11" t="str">
        <f t="shared" si="2"/>
        <v>205729</v>
      </c>
    </row>
    <row r="19">
      <c r="A19" s="35">
        <v>18.0</v>
      </c>
      <c r="B19" s="36">
        <v>43178.846450763886</v>
      </c>
      <c r="C19" s="11" t="s">
        <v>71</v>
      </c>
      <c r="D19" s="11" t="s">
        <v>72</v>
      </c>
      <c r="E19" s="11" t="s">
        <v>73</v>
      </c>
      <c r="F19" s="37">
        <v>17.0</v>
      </c>
      <c r="G19" s="37">
        <v>7.0</v>
      </c>
      <c r="H19" s="11" t="s">
        <v>309</v>
      </c>
      <c r="I19" s="37">
        <v>9.60790437E8</v>
      </c>
      <c r="J19" s="11" t="s">
        <v>61</v>
      </c>
      <c r="K19" s="17" t="str">
        <f t="shared" si="1"/>
        <v>0790437</v>
      </c>
      <c r="L19" s="11" t="str">
        <f t="shared" si="2"/>
        <v>790437</v>
      </c>
    </row>
    <row r="20">
      <c r="A20" s="35">
        <v>19.0</v>
      </c>
      <c r="B20" s="36">
        <v>43179.603030196755</v>
      </c>
      <c r="C20" s="11" t="s">
        <v>74</v>
      </c>
      <c r="D20" s="11" t="s">
        <v>75</v>
      </c>
      <c r="E20" s="11" t="s">
        <v>77</v>
      </c>
      <c r="F20" s="11" t="s">
        <v>310</v>
      </c>
      <c r="G20" s="37">
        <v>10.0</v>
      </c>
      <c r="H20" s="11" t="s">
        <v>311</v>
      </c>
      <c r="I20" s="37">
        <v>6.67437733E8</v>
      </c>
      <c r="J20" s="11" t="s">
        <v>61</v>
      </c>
      <c r="K20" s="17" t="str">
        <f t="shared" si="1"/>
        <v>7437733</v>
      </c>
      <c r="L20" s="11" t="str">
        <f t="shared" si="2"/>
        <v>437733</v>
      </c>
    </row>
    <row r="21">
      <c r="A21" s="35">
        <v>20.0</v>
      </c>
      <c r="B21" s="36">
        <v>43179.887026365745</v>
      </c>
      <c r="C21" s="11" t="s">
        <v>71</v>
      </c>
      <c r="D21" s="11" t="s">
        <v>78</v>
      </c>
      <c r="E21" s="11" t="s">
        <v>73</v>
      </c>
      <c r="F21" s="37">
        <v>17.0</v>
      </c>
      <c r="G21" s="37">
        <v>7.0</v>
      </c>
      <c r="H21" s="11" t="s">
        <v>312</v>
      </c>
      <c r="I21" s="37">
        <v>9.60790437E8</v>
      </c>
      <c r="J21" s="11" t="s">
        <v>61</v>
      </c>
      <c r="K21" s="17" t="str">
        <f t="shared" si="1"/>
        <v>0790437</v>
      </c>
      <c r="L21" s="11" t="str">
        <f t="shared" si="2"/>
        <v>790437</v>
      </c>
    </row>
    <row r="22">
      <c r="A22" s="35">
        <v>21.0</v>
      </c>
      <c r="B22" s="36">
        <v>43193.728366944444</v>
      </c>
      <c r="C22" s="11" t="s">
        <v>80</v>
      </c>
      <c r="D22" s="11" t="s">
        <v>38</v>
      </c>
      <c r="E22" s="11" t="s">
        <v>51</v>
      </c>
      <c r="F22" s="11" t="s">
        <v>313</v>
      </c>
      <c r="G22" s="37">
        <v>7.0</v>
      </c>
      <c r="H22" s="11" t="s">
        <v>314</v>
      </c>
      <c r="I22" s="37">
        <v>9.82141839E8</v>
      </c>
      <c r="J22" s="11" t="s">
        <v>61</v>
      </c>
      <c r="K22" s="17" t="str">
        <f t="shared" si="1"/>
        <v>2141839</v>
      </c>
      <c r="L22" s="11" t="str">
        <f t="shared" si="2"/>
        <v>141839</v>
      </c>
    </row>
    <row r="23">
      <c r="A23" s="35">
        <v>22.0</v>
      </c>
      <c r="B23" s="36">
        <v>43194.45086912037</v>
      </c>
      <c r="C23" s="11" t="s">
        <v>82</v>
      </c>
      <c r="D23" s="11" t="s">
        <v>29</v>
      </c>
      <c r="E23" s="11" t="s">
        <v>83</v>
      </c>
      <c r="F23" s="11" t="s">
        <v>315</v>
      </c>
      <c r="G23" s="37">
        <v>9.0</v>
      </c>
      <c r="H23" s="11" t="s">
        <v>316</v>
      </c>
      <c r="I23" s="37">
        <v>9.72168316E8</v>
      </c>
      <c r="J23" s="11" t="s">
        <v>317</v>
      </c>
      <c r="K23" s="17" t="str">
        <f t="shared" si="1"/>
        <v>2168316</v>
      </c>
      <c r="L23" s="11" t="str">
        <f t="shared" si="2"/>
        <v>168316</v>
      </c>
    </row>
    <row r="24">
      <c r="A24" s="35">
        <v>23.0</v>
      </c>
      <c r="B24" s="36">
        <v>43194.45103998843</v>
      </c>
      <c r="C24" s="11" t="s">
        <v>85</v>
      </c>
      <c r="D24" s="11" t="s">
        <v>69</v>
      </c>
      <c r="E24" s="11" t="s">
        <v>87</v>
      </c>
      <c r="F24" s="11" t="s">
        <v>315</v>
      </c>
      <c r="G24" s="37">
        <v>9.0</v>
      </c>
      <c r="H24" s="11" t="s">
        <v>318</v>
      </c>
      <c r="I24" s="37">
        <v>9.9771819E8</v>
      </c>
      <c r="J24" s="11" t="s">
        <v>287</v>
      </c>
      <c r="K24" s="17" t="str">
        <f t="shared" si="1"/>
        <v>7718190</v>
      </c>
      <c r="L24" s="11" t="str">
        <f t="shared" si="2"/>
        <v>718190</v>
      </c>
    </row>
    <row r="25">
      <c r="A25" s="35">
        <v>24.0</v>
      </c>
      <c r="B25" s="36">
        <v>43197.75995319444</v>
      </c>
      <c r="C25" s="11" t="s">
        <v>88</v>
      </c>
      <c r="D25" s="11" t="s">
        <v>89</v>
      </c>
      <c r="E25" s="11" t="s">
        <v>83</v>
      </c>
      <c r="F25" s="11" t="s">
        <v>297</v>
      </c>
      <c r="G25" s="37">
        <v>10.0</v>
      </c>
      <c r="H25" s="11" t="s">
        <v>319</v>
      </c>
      <c r="I25" s="11" t="s">
        <v>118</v>
      </c>
      <c r="J25" s="11" t="s">
        <v>61</v>
      </c>
      <c r="K25" s="17" t="str">
        <f t="shared" si="1"/>
        <v>5-15-85</v>
      </c>
      <c r="L25" s="11" t="str">
        <f t="shared" si="2"/>
        <v>-15-85</v>
      </c>
    </row>
    <row r="26">
      <c r="A26" s="35">
        <v>25.0</v>
      </c>
      <c r="B26" s="36">
        <v>43198.367802824076</v>
      </c>
      <c r="C26" s="11" t="s">
        <v>91</v>
      </c>
      <c r="D26" s="11" t="s">
        <v>92</v>
      </c>
      <c r="E26" s="11" t="s">
        <v>93</v>
      </c>
      <c r="F26" s="11" t="s">
        <v>320</v>
      </c>
      <c r="G26" s="37">
        <v>7.0</v>
      </c>
      <c r="H26" s="11" t="s">
        <v>321</v>
      </c>
      <c r="I26" s="37">
        <v>6.678553582E9</v>
      </c>
      <c r="J26" s="11" t="s">
        <v>287</v>
      </c>
      <c r="K26" s="17" t="str">
        <f t="shared" si="1"/>
        <v>8553582</v>
      </c>
      <c r="L26" s="11" t="str">
        <f t="shared" si="2"/>
        <v>553582</v>
      </c>
    </row>
    <row r="27">
      <c r="A27" s="35">
        <v>26.0</v>
      </c>
      <c r="B27" s="36">
        <v>43200.43949709491</v>
      </c>
      <c r="C27" s="11" t="s">
        <v>94</v>
      </c>
      <c r="D27" s="11" t="s">
        <v>95</v>
      </c>
      <c r="E27" s="11" t="s">
        <v>96</v>
      </c>
      <c r="F27" s="11" t="s">
        <v>315</v>
      </c>
      <c r="G27" s="37">
        <v>7.0</v>
      </c>
      <c r="H27" s="11" t="s">
        <v>322</v>
      </c>
      <c r="I27" s="37">
        <v>9.63579004E8</v>
      </c>
      <c r="J27" s="11" t="s">
        <v>61</v>
      </c>
      <c r="K27" s="17" t="str">
        <f t="shared" si="1"/>
        <v>3579004</v>
      </c>
      <c r="L27" s="11" t="str">
        <f t="shared" si="2"/>
        <v>579004</v>
      </c>
    </row>
    <row r="28">
      <c r="A28" s="35">
        <v>27.0</v>
      </c>
      <c r="B28" s="36">
        <v>43200.820498761575</v>
      </c>
      <c r="C28" s="11" t="s">
        <v>98</v>
      </c>
      <c r="D28" s="11" t="s">
        <v>99</v>
      </c>
      <c r="E28" s="11" t="s">
        <v>100</v>
      </c>
      <c r="F28" s="11" t="s">
        <v>323</v>
      </c>
      <c r="G28" s="37">
        <v>7.0</v>
      </c>
      <c r="H28" s="11" t="s">
        <v>324</v>
      </c>
      <c r="I28" s="11" t="s">
        <v>124</v>
      </c>
      <c r="J28" s="11" t="s">
        <v>317</v>
      </c>
      <c r="K28" s="17" t="str">
        <f t="shared" si="1"/>
        <v>8690452</v>
      </c>
      <c r="L28" s="11" t="str">
        <f t="shared" si="2"/>
        <v>690452</v>
      </c>
    </row>
    <row r="29">
      <c r="A29" s="35">
        <v>28.0</v>
      </c>
      <c r="B29" s="36">
        <v>43200.85729782407</v>
      </c>
      <c r="C29" s="11" t="s">
        <v>82</v>
      </c>
      <c r="D29" s="11" t="s">
        <v>102</v>
      </c>
      <c r="E29" s="11" t="s">
        <v>83</v>
      </c>
      <c r="F29" s="11" t="s">
        <v>315</v>
      </c>
      <c r="G29" s="37">
        <v>8.0</v>
      </c>
      <c r="H29" s="11" t="s">
        <v>325</v>
      </c>
      <c r="I29" s="11" t="s">
        <v>125</v>
      </c>
      <c r="J29" s="11" t="s">
        <v>287</v>
      </c>
      <c r="K29" s="17" t="str">
        <f t="shared" si="1"/>
        <v>6347028</v>
      </c>
      <c r="L29" s="11" t="str">
        <f t="shared" si="2"/>
        <v>347028</v>
      </c>
    </row>
    <row r="30">
      <c r="A30" s="35">
        <v>29.0</v>
      </c>
      <c r="B30" s="36">
        <v>43200.86311371528</v>
      </c>
      <c r="C30" s="11" t="s">
        <v>103</v>
      </c>
      <c r="D30" s="11" t="s">
        <v>35</v>
      </c>
      <c r="E30" s="11" t="s">
        <v>104</v>
      </c>
      <c r="F30" s="11" t="s">
        <v>326</v>
      </c>
      <c r="G30" s="37">
        <v>8.0</v>
      </c>
      <c r="H30" s="11" t="s">
        <v>327</v>
      </c>
      <c r="I30" s="37">
        <v>9.49323072E8</v>
      </c>
      <c r="J30" s="11" t="s">
        <v>317</v>
      </c>
      <c r="K30" s="17" t="str">
        <f t="shared" si="1"/>
        <v>9323072</v>
      </c>
      <c r="L30" s="11" t="str">
        <f t="shared" si="2"/>
        <v>323072</v>
      </c>
    </row>
    <row r="31">
      <c r="A31" s="35">
        <v>30.0</v>
      </c>
      <c r="B31" s="36">
        <v>43200.87273221065</v>
      </c>
      <c r="C31" s="11" t="s">
        <v>105</v>
      </c>
      <c r="D31" s="11" t="s">
        <v>106</v>
      </c>
      <c r="E31" s="11" t="s">
        <v>107</v>
      </c>
      <c r="F31" s="11" t="s">
        <v>315</v>
      </c>
      <c r="G31" s="37">
        <v>8.0</v>
      </c>
      <c r="H31" s="11" t="s">
        <v>328</v>
      </c>
      <c r="I31" s="37">
        <v>3.80972929706E11</v>
      </c>
      <c r="J31" s="11" t="s">
        <v>317</v>
      </c>
      <c r="K31" s="17" t="str">
        <f t="shared" si="1"/>
        <v>2929706</v>
      </c>
      <c r="L31" s="11" t="str">
        <f t="shared" si="2"/>
        <v>929706</v>
      </c>
    </row>
    <row r="32">
      <c r="A32" s="35">
        <v>31.0</v>
      </c>
      <c r="B32" s="36">
        <v>43200.88400020833</v>
      </c>
      <c r="C32" s="11" t="s">
        <v>108</v>
      </c>
      <c r="D32" s="11" t="s">
        <v>109</v>
      </c>
      <c r="E32" s="11" t="s">
        <v>110</v>
      </c>
      <c r="F32" s="11" t="s">
        <v>315</v>
      </c>
      <c r="G32" s="37">
        <v>8.0</v>
      </c>
      <c r="H32" s="11" t="s">
        <v>329</v>
      </c>
      <c r="I32" s="11" t="s">
        <v>132</v>
      </c>
      <c r="J32" s="11" t="s">
        <v>287</v>
      </c>
      <c r="K32" s="17" t="str">
        <f t="shared" si="1"/>
        <v>3-06-87</v>
      </c>
      <c r="L32" s="11" t="str">
        <f t="shared" si="2"/>
        <v>-06-87</v>
      </c>
    </row>
    <row r="33">
      <c r="A33" s="35">
        <v>32.0</v>
      </c>
      <c r="B33" s="36">
        <v>43200.950090659724</v>
      </c>
      <c r="C33" s="11" t="s">
        <v>111</v>
      </c>
      <c r="D33" s="11" t="s">
        <v>112</v>
      </c>
      <c r="E33" s="11" t="s">
        <v>113</v>
      </c>
      <c r="F33" s="11" t="s">
        <v>330</v>
      </c>
      <c r="G33" s="37">
        <v>10.0</v>
      </c>
      <c r="H33" s="11" t="s">
        <v>331</v>
      </c>
      <c r="I33" s="37">
        <v>3.80984989647E11</v>
      </c>
      <c r="J33" s="11" t="s">
        <v>317</v>
      </c>
      <c r="K33" s="17" t="str">
        <f t="shared" si="1"/>
        <v>4989647</v>
      </c>
      <c r="L33" s="11" t="str">
        <f t="shared" si="2"/>
        <v>989647</v>
      </c>
    </row>
    <row r="34">
      <c r="A34" s="35">
        <v>33.0</v>
      </c>
      <c r="B34" s="36">
        <v>43201.45146094907</v>
      </c>
      <c r="C34" s="11" t="s">
        <v>114</v>
      </c>
      <c r="D34" s="11" t="s">
        <v>115</v>
      </c>
      <c r="E34" s="11" t="s">
        <v>70</v>
      </c>
      <c r="F34" s="11" t="s">
        <v>313</v>
      </c>
      <c r="G34" s="37">
        <v>8.0</v>
      </c>
      <c r="H34" s="11" t="s">
        <v>332</v>
      </c>
      <c r="I34" s="37">
        <v>6.31361567E8</v>
      </c>
      <c r="J34" s="11" t="s">
        <v>317</v>
      </c>
      <c r="K34" s="17" t="str">
        <f t="shared" si="1"/>
        <v>1361567</v>
      </c>
      <c r="L34" s="11" t="str">
        <f t="shared" si="2"/>
        <v>361567</v>
      </c>
    </row>
    <row r="35">
      <c r="A35" s="35">
        <v>34.0</v>
      </c>
      <c r="B35" s="36">
        <v>43201.714572627316</v>
      </c>
      <c r="C35" s="11" t="s">
        <v>116</v>
      </c>
      <c r="D35" s="11" t="s">
        <v>72</v>
      </c>
      <c r="E35" s="11" t="s">
        <v>117</v>
      </c>
      <c r="F35" s="37">
        <v>13.0</v>
      </c>
      <c r="G35" s="37">
        <v>9.0</v>
      </c>
      <c r="H35" s="11" t="s">
        <v>333</v>
      </c>
      <c r="I35" s="37">
        <v>6.79209211E8</v>
      </c>
      <c r="J35" s="11" t="s">
        <v>61</v>
      </c>
      <c r="K35" s="17" t="str">
        <f t="shared" si="1"/>
        <v>9209211</v>
      </c>
      <c r="L35" s="11" t="str">
        <f t="shared" si="2"/>
        <v>209211</v>
      </c>
    </row>
    <row r="36">
      <c r="A36" s="35">
        <v>35.0</v>
      </c>
      <c r="B36" s="36">
        <v>43201.869060682875</v>
      </c>
      <c r="C36" s="11" t="s">
        <v>121</v>
      </c>
      <c r="D36" s="11" t="s">
        <v>122</v>
      </c>
      <c r="E36" s="11" t="s">
        <v>123</v>
      </c>
      <c r="F36" s="11" t="s">
        <v>334</v>
      </c>
      <c r="G36" s="37">
        <v>8.0</v>
      </c>
      <c r="H36" s="11" t="s">
        <v>335</v>
      </c>
      <c r="I36" s="37">
        <v>6.74880197E8</v>
      </c>
      <c r="J36" s="11" t="s">
        <v>61</v>
      </c>
      <c r="K36" s="17" t="str">
        <f t="shared" si="1"/>
        <v>4880197</v>
      </c>
      <c r="L36" s="11" t="str">
        <f t="shared" si="2"/>
        <v>880197</v>
      </c>
    </row>
    <row r="37">
      <c r="A37" s="35">
        <v>36.0</v>
      </c>
      <c r="B37" s="36">
        <v>43201.959958541665</v>
      </c>
      <c r="C37" s="11" t="s">
        <v>126</v>
      </c>
      <c r="D37" s="11" t="s">
        <v>127</v>
      </c>
      <c r="E37" s="11" t="s">
        <v>336</v>
      </c>
      <c r="F37" s="11" t="s">
        <v>337</v>
      </c>
      <c r="G37" s="37">
        <v>7.0</v>
      </c>
      <c r="H37" s="11" t="s">
        <v>338</v>
      </c>
      <c r="I37" s="37">
        <v>5.05130125E8</v>
      </c>
      <c r="J37" s="11" t="s">
        <v>287</v>
      </c>
      <c r="K37" s="17" t="str">
        <f t="shared" si="1"/>
        <v>5130125</v>
      </c>
      <c r="L37" s="11" t="str">
        <f t="shared" si="2"/>
        <v>130125</v>
      </c>
    </row>
    <row r="38">
      <c r="A38" s="35">
        <v>37.0</v>
      </c>
      <c r="B38" s="36">
        <v>43202.32493030092</v>
      </c>
      <c r="C38" s="11" t="s">
        <v>128</v>
      </c>
      <c r="D38" s="11" t="s">
        <v>129</v>
      </c>
      <c r="E38" s="11" t="s">
        <v>130</v>
      </c>
      <c r="F38" s="11" t="s">
        <v>339</v>
      </c>
      <c r="G38" s="37">
        <v>9.0</v>
      </c>
      <c r="H38" s="11" t="s">
        <v>340</v>
      </c>
      <c r="I38" s="37">
        <v>5.09792811E8</v>
      </c>
      <c r="J38" s="11" t="s">
        <v>317</v>
      </c>
      <c r="K38" s="17" t="str">
        <f t="shared" si="1"/>
        <v>9792811</v>
      </c>
      <c r="L38" s="11" t="str">
        <f t="shared" si="2"/>
        <v>792811</v>
      </c>
    </row>
    <row r="39">
      <c r="A39" s="35">
        <v>38.0</v>
      </c>
      <c r="B39" s="36">
        <v>43202.39690061343</v>
      </c>
      <c r="C39" s="11" t="s">
        <v>131</v>
      </c>
      <c r="D39" s="11" t="s">
        <v>69</v>
      </c>
      <c r="E39" s="11" t="s">
        <v>133</v>
      </c>
      <c r="F39" s="11" t="s">
        <v>315</v>
      </c>
      <c r="G39" s="37">
        <v>7.0</v>
      </c>
      <c r="H39" s="11" t="s">
        <v>341</v>
      </c>
      <c r="I39" s="11" t="s">
        <v>146</v>
      </c>
      <c r="J39" s="11" t="s">
        <v>281</v>
      </c>
      <c r="K39" s="17" t="str">
        <f t="shared" si="1"/>
        <v>4861520</v>
      </c>
      <c r="L39" s="11" t="str">
        <f t="shared" si="2"/>
        <v>861520</v>
      </c>
    </row>
    <row r="40">
      <c r="A40" s="35">
        <v>39.0</v>
      </c>
      <c r="B40" s="36">
        <v>43202.42267461805</v>
      </c>
      <c r="C40" s="11" t="s">
        <v>135</v>
      </c>
      <c r="D40" s="11" t="s">
        <v>136</v>
      </c>
      <c r="E40" s="11" t="s">
        <v>137</v>
      </c>
      <c r="F40" s="37">
        <v>117.0</v>
      </c>
      <c r="G40" s="37">
        <v>10.0</v>
      </c>
      <c r="H40" s="11" t="s">
        <v>342</v>
      </c>
      <c r="I40" s="37">
        <v>6.6618727E8</v>
      </c>
      <c r="J40" s="11" t="s">
        <v>61</v>
      </c>
      <c r="K40" s="17" t="str">
        <f t="shared" si="1"/>
        <v>6187270</v>
      </c>
      <c r="L40" s="11" t="str">
        <f t="shared" si="2"/>
        <v>187270</v>
      </c>
    </row>
    <row r="41">
      <c r="A41" s="35">
        <v>40.0</v>
      </c>
      <c r="B41" s="36">
        <v>43202.608685150466</v>
      </c>
      <c r="C41" s="11" t="s">
        <v>138</v>
      </c>
      <c r="D41" s="11" t="s">
        <v>139</v>
      </c>
      <c r="E41" s="11" t="s">
        <v>140</v>
      </c>
      <c r="F41" s="37">
        <v>30.0</v>
      </c>
      <c r="G41" s="37">
        <v>10.0</v>
      </c>
      <c r="H41" s="11" t="s">
        <v>343</v>
      </c>
      <c r="I41" s="11" t="s">
        <v>148</v>
      </c>
      <c r="J41" s="11" t="s">
        <v>61</v>
      </c>
      <c r="K41" s="17" t="str">
        <f t="shared" si="1"/>
        <v>1228716</v>
      </c>
      <c r="L41" s="11" t="str">
        <f t="shared" si="2"/>
        <v>228716</v>
      </c>
    </row>
    <row r="42">
      <c r="A42" s="35">
        <v>41.0</v>
      </c>
      <c r="B42" s="36">
        <v>43202.77895842593</v>
      </c>
      <c r="C42" s="11" t="s">
        <v>141</v>
      </c>
      <c r="D42" s="11" t="s">
        <v>142</v>
      </c>
      <c r="E42" s="11" t="s">
        <v>70</v>
      </c>
      <c r="F42" s="11" t="s">
        <v>315</v>
      </c>
      <c r="G42" s="37">
        <v>8.0</v>
      </c>
      <c r="H42" s="11" t="s">
        <v>344</v>
      </c>
      <c r="I42" s="11" t="s">
        <v>150</v>
      </c>
      <c r="J42" s="11" t="s">
        <v>317</v>
      </c>
      <c r="K42" s="17" t="str">
        <f t="shared" si="1"/>
        <v>9494201</v>
      </c>
      <c r="L42" s="11" t="str">
        <f t="shared" si="2"/>
        <v>494201</v>
      </c>
    </row>
    <row r="43">
      <c r="A43" s="35">
        <v>42.0</v>
      </c>
      <c r="B43" s="36">
        <v>43202.797638344906</v>
      </c>
      <c r="C43" s="11" t="s">
        <v>143</v>
      </c>
      <c r="D43" s="11" t="s">
        <v>58</v>
      </c>
      <c r="E43" s="11" t="s">
        <v>144</v>
      </c>
      <c r="F43" s="11" t="s">
        <v>315</v>
      </c>
      <c r="G43" s="37">
        <v>8.0</v>
      </c>
      <c r="H43" s="11" t="s">
        <v>345</v>
      </c>
      <c r="I43" s="37">
        <v>6.71180518E8</v>
      </c>
      <c r="J43" s="11" t="s">
        <v>287</v>
      </c>
      <c r="K43" s="17" t="str">
        <f t="shared" si="1"/>
        <v>1180518</v>
      </c>
      <c r="L43" s="11" t="str">
        <f t="shared" si="2"/>
        <v>180518</v>
      </c>
    </row>
    <row r="44">
      <c r="A44" s="35">
        <v>43.0</v>
      </c>
      <c r="B44" s="36">
        <v>43203.97661799769</v>
      </c>
      <c r="C44" s="11" t="s">
        <v>145</v>
      </c>
      <c r="D44" s="11" t="s">
        <v>38</v>
      </c>
      <c r="E44" s="11" t="s">
        <v>107</v>
      </c>
      <c r="F44" s="11" t="s">
        <v>315</v>
      </c>
      <c r="G44" s="37">
        <v>7.0</v>
      </c>
      <c r="H44" s="11" t="s">
        <v>346</v>
      </c>
      <c r="I44" s="37">
        <v>5.07164943E8</v>
      </c>
      <c r="J44" s="11" t="s">
        <v>287</v>
      </c>
      <c r="K44" s="17" t="str">
        <f t="shared" si="1"/>
        <v>7164943</v>
      </c>
      <c r="L44" s="11" t="str">
        <f t="shared" si="2"/>
        <v>164943</v>
      </c>
    </row>
    <row r="45">
      <c r="A45" s="35">
        <v>44.0</v>
      </c>
      <c r="B45" s="36">
        <v>43204.07014326389</v>
      </c>
      <c r="C45" s="11" t="s">
        <v>147</v>
      </c>
      <c r="D45" s="11" t="s">
        <v>72</v>
      </c>
      <c r="E45" s="11" t="s">
        <v>104</v>
      </c>
      <c r="F45" s="11" t="s">
        <v>326</v>
      </c>
      <c r="G45" s="37">
        <v>7.0</v>
      </c>
      <c r="H45" s="11" t="s">
        <v>347</v>
      </c>
      <c r="I45" s="37">
        <v>6.74858966E8</v>
      </c>
      <c r="J45" s="11" t="s">
        <v>287</v>
      </c>
      <c r="K45" s="17" t="str">
        <f t="shared" si="1"/>
        <v>4858966</v>
      </c>
      <c r="L45" s="11" t="str">
        <f t="shared" si="2"/>
        <v>858966</v>
      </c>
    </row>
    <row r="46">
      <c r="A46" s="35">
        <v>45.0</v>
      </c>
      <c r="B46" s="36">
        <v>43204.49549563657</v>
      </c>
      <c r="C46" s="11" t="s">
        <v>149</v>
      </c>
      <c r="D46" s="11" t="s">
        <v>151</v>
      </c>
      <c r="E46" s="11" t="s">
        <v>93</v>
      </c>
      <c r="F46" s="11" t="s">
        <v>315</v>
      </c>
      <c r="G46" s="37">
        <v>7.0</v>
      </c>
      <c r="H46" s="11" t="s">
        <v>348</v>
      </c>
      <c r="I46" s="11" t="s">
        <v>154</v>
      </c>
      <c r="J46" s="11" t="s">
        <v>287</v>
      </c>
      <c r="K46" s="17" t="str">
        <f t="shared" si="1"/>
        <v>7375097</v>
      </c>
      <c r="L46" s="11" t="str">
        <f t="shared" si="2"/>
        <v>375097</v>
      </c>
    </row>
    <row r="47">
      <c r="A47" s="35">
        <v>46.0</v>
      </c>
      <c r="B47" s="36">
        <v>43205.58911021991</v>
      </c>
      <c r="C47" s="11" t="s">
        <v>152</v>
      </c>
      <c r="D47" s="11" t="s">
        <v>115</v>
      </c>
      <c r="E47" s="11" t="s">
        <v>70</v>
      </c>
      <c r="F47" s="11" t="s">
        <v>315</v>
      </c>
      <c r="G47" s="37">
        <v>7.0</v>
      </c>
      <c r="H47" s="11" t="s">
        <v>349</v>
      </c>
      <c r="I47" s="37">
        <v>5.09763553E8</v>
      </c>
      <c r="J47" s="11" t="s">
        <v>287</v>
      </c>
      <c r="K47" s="17" t="str">
        <f t="shared" si="1"/>
        <v>9763553</v>
      </c>
      <c r="L47" s="11" t="str">
        <f t="shared" si="2"/>
        <v>763553</v>
      </c>
    </row>
    <row r="48">
      <c r="A48" s="35">
        <v>47.0</v>
      </c>
      <c r="B48" s="36">
        <v>43205.77405212963</v>
      </c>
      <c r="C48" s="11" t="s">
        <v>153</v>
      </c>
      <c r="D48" s="11" t="s">
        <v>78</v>
      </c>
      <c r="E48" s="11" t="s">
        <v>67</v>
      </c>
      <c r="F48" s="11" t="s">
        <v>315</v>
      </c>
      <c r="G48" s="37">
        <v>7.0</v>
      </c>
      <c r="H48" s="11" t="s">
        <v>350</v>
      </c>
      <c r="I48" s="11" t="s">
        <v>160</v>
      </c>
      <c r="J48" s="11" t="s">
        <v>287</v>
      </c>
      <c r="K48" s="17" t="str">
        <f t="shared" si="1"/>
        <v>-32-702</v>
      </c>
      <c r="L48" s="11" t="str">
        <f t="shared" si="2"/>
        <v>32-702</v>
      </c>
    </row>
    <row r="49">
      <c r="A49" s="35">
        <v>48.0</v>
      </c>
      <c r="B49" s="36">
        <v>43205.816746041666</v>
      </c>
      <c r="C49" s="11" t="s">
        <v>156</v>
      </c>
      <c r="D49" s="11" t="s">
        <v>38</v>
      </c>
      <c r="E49" s="11" t="s">
        <v>351</v>
      </c>
      <c r="F49" s="11" t="s">
        <v>352</v>
      </c>
      <c r="G49" s="37">
        <v>8.0</v>
      </c>
      <c r="H49" s="11" t="s">
        <v>353</v>
      </c>
      <c r="I49" s="37">
        <v>9.80865611E8</v>
      </c>
      <c r="J49" s="11" t="s">
        <v>61</v>
      </c>
      <c r="K49" s="17" t="str">
        <f t="shared" si="1"/>
        <v>0865611</v>
      </c>
      <c r="L49" s="11" t="str">
        <f t="shared" si="2"/>
        <v>865611</v>
      </c>
    </row>
    <row r="50">
      <c r="A50" s="35">
        <v>49.0</v>
      </c>
      <c r="B50" s="36">
        <v>43206.45688061343</v>
      </c>
      <c r="C50" s="11" t="s">
        <v>158</v>
      </c>
      <c r="D50" s="11" t="s">
        <v>159</v>
      </c>
      <c r="E50" s="11" t="s">
        <v>161</v>
      </c>
      <c r="F50" s="11" t="s">
        <v>315</v>
      </c>
      <c r="G50" s="37">
        <v>7.0</v>
      </c>
      <c r="H50" s="11" t="s">
        <v>354</v>
      </c>
      <c r="I50" s="11" t="s">
        <v>166</v>
      </c>
      <c r="J50" s="11" t="s">
        <v>61</v>
      </c>
      <c r="K50" s="17" t="str">
        <f t="shared" si="1"/>
        <v>1-13-05</v>
      </c>
      <c r="L50" s="11" t="str">
        <f t="shared" si="2"/>
        <v>-13-05</v>
      </c>
    </row>
    <row r="51">
      <c r="A51" s="35">
        <v>50.0</v>
      </c>
      <c r="B51" s="36">
        <v>43206.51171023148</v>
      </c>
      <c r="C51" s="11" t="s">
        <v>164</v>
      </c>
      <c r="D51" s="11" t="s">
        <v>165</v>
      </c>
      <c r="E51" s="11" t="s">
        <v>117</v>
      </c>
      <c r="F51" s="11" t="s">
        <v>355</v>
      </c>
      <c r="G51" s="37">
        <v>7.0</v>
      </c>
      <c r="H51" s="11" t="s">
        <v>356</v>
      </c>
      <c r="I51" s="11" t="s">
        <v>170</v>
      </c>
      <c r="J51" s="11" t="s">
        <v>61</v>
      </c>
      <c r="K51" s="17" t="str">
        <f t="shared" si="1"/>
        <v>9756732</v>
      </c>
      <c r="L51" s="11" t="str">
        <f t="shared" si="2"/>
        <v>756732</v>
      </c>
    </row>
    <row r="52">
      <c r="A52" s="35">
        <v>51.0</v>
      </c>
      <c r="B52" s="36">
        <v>43206.95948446759</v>
      </c>
      <c r="C52" s="11" t="s">
        <v>167</v>
      </c>
      <c r="D52" s="11" t="s">
        <v>75</v>
      </c>
      <c r="E52" s="11" t="s">
        <v>87</v>
      </c>
      <c r="F52" s="11" t="s">
        <v>315</v>
      </c>
      <c r="G52" s="37">
        <v>8.0</v>
      </c>
      <c r="H52" s="11" t="s">
        <v>357</v>
      </c>
      <c r="I52" s="37">
        <v>9.4996419E8</v>
      </c>
      <c r="J52" s="11" t="s">
        <v>281</v>
      </c>
      <c r="K52" s="17" t="str">
        <f t="shared" si="1"/>
        <v>9964190</v>
      </c>
      <c r="L52" s="11" t="str">
        <f t="shared" si="2"/>
        <v>964190</v>
      </c>
    </row>
    <row r="53">
      <c r="A53" s="35">
        <v>52.0</v>
      </c>
      <c r="B53" s="36">
        <v>43207.386352546295</v>
      </c>
      <c r="C53" s="11" t="s">
        <v>171</v>
      </c>
      <c r="D53" s="11" t="s">
        <v>358</v>
      </c>
      <c r="E53" s="11" t="s">
        <v>70</v>
      </c>
      <c r="F53" s="11" t="s">
        <v>359</v>
      </c>
      <c r="G53" s="37">
        <v>7.0</v>
      </c>
      <c r="H53" s="11" t="s">
        <v>360</v>
      </c>
      <c r="I53" s="37">
        <v>6.78800416E8</v>
      </c>
      <c r="J53" s="11" t="s">
        <v>287</v>
      </c>
      <c r="K53" s="17" t="str">
        <f t="shared" si="1"/>
        <v>8800416</v>
      </c>
      <c r="L53" s="11" t="str">
        <f t="shared" si="2"/>
        <v>800416</v>
      </c>
    </row>
    <row r="54">
      <c r="A54" s="35">
        <v>53.0</v>
      </c>
      <c r="B54" s="36">
        <v>43207.53243608796</v>
      </c>
      <c r="C54" s="11" t="s">
        <v>173</v>
      </c>
      <c r="D54" s="11" t="s">
        <v>174</v>
      </c>
      <c r="E54" s="11" t="s">
        <v>144</v>
      </c>
      <c r="F54" s="11" t="s">
        <v>361</v>
      </c>
      <c r="G54" s="37">
        <v>7.0</v>
      </c>
      <c r="H54" s="11" t="s">
        <v>362</v>
      </c>
      <c r="I54" s="37">
        <v>5.03956665E8</v>
      </c>
      <c r="J54" s="11" t="s">
        <v>287</v>
      </c>
      <c r="K54" s="17" t="str">
        <f t="shared" si="1"/>
        <v>3956665</v>
      </c>
      <c r="L54" s="11" t="str">
        <f t="shared" si="2"/>
        <v>956665</v>
      </c>
    </row>
    <row r="55">
      <c r="A55" s="35">
        <v>54.0</v>
      </c>
      <c r="B55" s="36">
        <v>43207.85272052084</v>
      </c>
      <c r="C55" s="11" t="s">
        <v>175</v>
      </c>
      <c r="D55" s="11" t="s">
        <v>177</v>
      </c>
      <c r="E55" s="11" t="s">
        <v>137</v>
      </c>
      <c r="F55" s="11" t="s">
        <v>363</v>
      </c>
      <c r="G55" s="37">
        <v>7.0</v>
      </c>
      <c r="H55" s="11" t="s">
        <v>364</v>
      </c>
      <c r="I55" s="11" t="s">
        <v>176</v>
      </c>
      <c r="J55" s="11" t="s">
        <v>61</v>
      </c>
      <c r="K55" s="17" t="str">
        <f t="shared" si="1"/>
        <v>4894869</v>
      </c>
      <c r="L55" s="11" t="str">
        <f t="shared" si="2"/>
        <v>894869</v>
      </c>
    </row>
    <row r="56">
      <c r="A56" s="35">
        <v>55.0</v>
      </c>
      <c r="B56" s="36">
        <v>43208.28579300926</v>
      </c>
      <c r="C56" s="11" t="s">
        <v>365</v>
      </c>
      <c r="D56" s="11" t="s">
        <v>180</v>
      </c>
      <c r="E56" s="11" t="s">
        <v>83</v>
      </c>
      <c r="F56" s="11" t="s">
        <v>315</v>
      </c>
      <c r="G56" s="37">
        <v>8.0</v>
      </c>
      <c r="H56" s="11" t="s">
        <v>366</v>
      </c>
      <c r="I56" s="11" t="s">
        <v>178</v>
      </c>
      <c r="J56" s="11" t="s">
        <v>61</v>
      </c>
      <c r="K56" s="17" t="str">
        <f t="shared" si="1"/>
        <v>8-2-648</v>
      </c>
      <c r="L56" s="11" t="str">
        <f t="shared" si="2"/>
        <v>-2-648</v>
      </c>
    </row>
    <row r="57">
      <c r="A57" s="35">
        <v>56.0</v>
      </c>
      <c r="B57" s="36">
        <v>43208.61971677083</v>
      </c>
      <c r="C57" s="11" t="s">
        <v>182</v>
      </c>
      <c r="D57" s="11" t="s">
        <v>55</v>
      </c>
      <c r="E57" s="11" t="s">
        <v>183</v>
      </c>
      <c r="F57" s="11" t="s">
        <v>315</v>
      </c>
      <c r="G57" s="37">
        <v>8.0</v>
      </c>
      <c r="H57" s="11" t="s">
        <v>367</v>
      </c>
      <c r="I57" s="37">
        <v>6.3183541E8</v>
      </c>
      <c r="J57" s="11" t="s">
        <v>287</v>
      </c>
      <c r="K57" s="17" t="str">
        <f t="shared" si="1"/>
        <v>1835410</v>
      </c>
      <c r="L57" s="11" t="str">
        <f t="shared" si="2"/>
        <v>835410</v>
      </c>
    </row>
    <row r="58">
      <c r="A58" s="35">
        <v>57.0</v>
      </c>
      <c r="B58" s="36">
        <v>43208.72796684028</v>
      </c>
      <c r="C58" s="11" t="s">
        <v>184</v>
      </c>
      <c r="D58" s="11" t="s">
        <v>174</v>
      </c>
      <c r="E58" s="11" t="s">
        <v>185</v>
      </c>
      <c r="F58" s="11" t="s">
        <v>368</v>
      </c>
      <c r="G58" s="37">
        <v>7.0</v>
      </c>
      <c r="H58" s="11" t="s">
        <v>369</v>
      </c>
      <c r="I58" s="37">
        <v>9.49480565E8</v>
      </c>
      <c r="J58" s="11" t="s">
        <v>61</v>
      </c>
      <c r="K58" s="17" t="str">
        <f t="shared" si="1"/>
        <v>9480565</v>
      </c>
      <c r="L58" s="11" t="str">
        <f t="shared" si="2"/>
        <v>480565</v>
      </c>
    </row>
    <row r="59">
      <c r="A59" s="35">
        <v>58.0</v>
      </c>
      <c r="B59" s="36">
        <v>43209.41581559028</v>
      </c>
      <c r="C59" s="11" t="s">
        <v>186</v>
      </c>
      <c r="D59" s="11" t="s">
        <v>151</v>
      </c>
      <c r="E59" s="11" t="s">
        <v>187</v>
      </c>
      <c r="F59" s="11" t="s">
        <v>370</v>
      </c>
      <c r="G59" s="37">
        <v>7.0</v>
      </c>
      <c r="H59" s="11" t="s">
        <v>371</v>
      </c>
      <c r="I59" s="37">
        <v>3.80680473797E11</v>
      </c>
      <c r="J59" s="11" t="s">
        <v>61</v>
      </c>
      <c r="K59" s="17" t="str">
        <f t="shared" si="1"/>
        <v>0473797</v>
      </c>
      <c r="L59" s="11" t="str">
        <f t="shared" si="2"/>
        <v>473797</v>
      </c>
    </row>
    <row r="60">
      <c r="A60" s="35">
        <v>59.0</v>
      </c>
      <c r="B60" s="36">
        <v>43211.44924210648</v>
      </c>
      <c r="C60" s="11" t="s">
        <v>188</v>
      </c>
      <c r="D60" s="11" t="s">
        <v>189</v>
      </c>
      <c r="E60" s="11" t="s">
        <v>87</v>
      </c>
      <c r="F60" s="11" t="s">
        <v>315</v>
      </c>
      <c r="G60" s="37">
        <v>7.0</v>
      </c>
      <c r="H60" s="11" t="s">
        <v>372</v>
      </c>
      <c r="I60" s="37">
        <v>6.72691606E8</v>
      </c>
      <c r="J60" s="11" t="s">
        <v>281</v>
      </c>
      <c r="K60" s="17" t="str">
        <f t="shared" si="1"/>
        <v>2691606</v>
      </c>
      <c r="L60" s="11" t="str">
        <f t="shared" si="2"/>
        <v>691606</v>
      </c>
    </row>
    <row r="61">
      <c r="A61" s="35">
        <v>60.0</v>
      </c>
      <c r="B61" s="36">
        <v>43211.73210879629</v>
      </c>
      <c r="C61" s="11" t="s">
        <v>373</v>
      </c>
      <c r="D61" s="11" t="s">
        <v>374</v>
      </c>
      <c r="E61" s="11" t="s">
        <v>375</v>
      </c>
      <c r="F61" s="11" t="s">
        <v>376</v>
      </c>
      <c r="G61" s="37">
        <v>7.0</v>
      </c>
      <c r="H61" s="11" t="s">
        <v>377</v>
      </c>
      <c r="I61" s="37">
        <v>9.67884919E8</v>
      </c>
      <c r="J61" s="11" t="s">
        <v>287</v>
      </c>
      <c r="K61" s="17" t="str">
        <f t="shared" si="1"/>
        <v>7884919</v>
      </c>
      <c r="L61" s="11" t="str">
        <f t="shared" si="2"/>
        <v>884919</v>
      </c>
    </row>
    <row r="62">
      <c r="A62" s="35">
        <v>61.0</v>
      </c>
      <c r="B62" s="36">
        <v>43211.90527732639</v>
      </c>
      <c r="C62" s="11" t="s">
        <v>194</v>
      </c>
      <c r="D62" s="11" t="s">
        <v>127</v>
      </c>
      <c r="E62" s="11" t="s">
        <v>83</v>
      </c>
      <c r="F62" s="11" t="s">
        <v>315</v>
      </c>
      <c r="G62" s="37">
        <v>9.0</v>
      </c>
      <c r="H62" s="11" t="s">
        <v>378</v>
      </c>
      <c r="I62" s="37">
        <v>9.67265893E8</v>
      </c>
      <c r="J62" s="11" t="s">
        <v>287</v>
      </c>
      <c r="K62" s="17" t="str">
        <f t="shared" si="1"/>
        <v>7265893</v>
      </c>
      <c r="L62" s="11" t="str">
        <f t="shared" si="2"/>
        <v>265893</v>
      </c>
    </row>
    <row r="63">
      <c r="A63" s="35">
        <v>62.0</v>
      </c>
      <c r="B63" s="36">
        <v>43212.471286203705</v>
      </c>
      <c r="C63" s="11" t="s">
        <v>197</v>
      </c>
      <c r="D63" s="11" t="s">
        <v>38</v>
      </c>
      <c r="E63" s="11" t="s">
        <v>198</v>
      </c>
      <c r="F63" s="11" t="s">
        <v>379</v>
      </c>
      <c r="G63" s="37">
        <v>8.0</v>
      </c>
      <c r="H63" s="11" t="s">
        <v>380</v>
      </c>
      <c r="I63" s="11" t="s">
        <v>193</v>
      </c>
      <c r="J63" s="11" t="s">
        <v>281</v>
      </c>
      <c r="K63" s="17" t="str">
        <f t="shared" si="1"/>
        <v>0-37-97</v>
      </c>
      <c r="L63" s="11" t="str">
        <f t="shared" si="2"/>
        <v>-37-97</v>
      </c>
    </row>
    <row r="64">
      <c r="A64" s="35">
        <v>63.0</v>
      </c>
      <c r="B64" s="36">
        <v>43213.626562523146</v>
      </c>
      <c r="C64" s="11" t="s">
        <v>381</v>
      </c>
      <c r="D64" s="11" t="s">
        <v>200</v>
      </c>
      <c r="E64" s="11" t="s">
        <v>382</v>
      </c>
      <c r="F64" s="11" t="s">
        <v>383</v>
      </c>
      <c r="G64" s="37">
        <v>7.0</v>
      </c>
      <c r="H64" s="11" t="s">
        <v>384</v>
      </c>
      <c r="I64" s="37">
        <v>9.37741071E8</v>
      </c>
      <c r="J64" s="11" t="s">
        <v>287</v>
      </c>
      <c r="K64" s="17" t="str">
        <f t="shared" si="1"/>
        <v>7741071</v>
      </c>
      <c r="L64" s="11" t="str">
        <f t="shared" si="2"/>
        <v>741071</v>
      </c>
    </row>
    <row r="65">
      <c r="A65" s="35">
        <v>64.0</v>
      </c>
      <c r="B65" s="36">
        <v>43213.75514042824</v>
      </c>
      <c r="C65" s="11" t="s">
        <v>203</v>
      </c>
      <c r="D65" s="11" t="s">
        <v>204</v>
      </c>
      <c r="E65" s="11" t="s">
        <v>385</v>
      </c>
      <c r="F65" s="11" t="s">
        <v>386</v>
      </c>
      <c r="G65" s="37">
        <v>7.0</v>
      </c>
      <c r="H65" s="11" t="s">
        <v>387</v>
      </c>
      <c r="I65" s="37">
        <v>6.74862743E8</v>
      </c>
      <c r="J65" s="11" t="s">
        <v>287</v>
      </c>
      <c r="K65" s="17" t="str">
        <f t="shared" si="1"/>
        <v>4862743</v>
      </c>
      <c r="L65" s="11" t="str">
        <f t="shared" si="2"/>
        <v>862743</v>
      </c>
    </row>
    <row r="66">
      <c r="A66" s="35">
        <v>65.0</v>
      </c>
      <c r="B66" s="36">
        <v>43213.952304895836</v>
      </c>
      <c r="C66" s="11" t="s">
        <v>206</v>
      </c>
      <c r="D66" s="11" t="s">
        <v>207</v>
      </c>
      <c r="E66" s="11" t="s">
        <v>210</v>
      </c>
      <c r="F66" s="11" t="s">
        <v>315</v>
      </c>
      <c r="G66" s="37">
        <v>7.0</v>
      </c>
      <c r="H66" s="11" t="s">
        <v>388</v>
      </c>
      <c r="I66" s="37">
        <v>9.72839081E8</v>
      </c>
      <c r="J66" s="11" t="s">
        <v>281</v>
      </c>
      <c r="K66" s="17" t="str">
        <f t="shared" si="1"/>
        <v>2839081</v>
      </c>
      <c r="L66" s="11" t="str">
        <f t="shared" si="2"/>
        <v>839081</v>
      </c>
    </row>
    <row r="67">
      <c r="A67" s="35">
        <v>66.0</v>
      </c>
      <c r="B67" s="36">
        <v>43214.65408177083</v>
      </c>
      <c r="C67" s="11" t="s">
        <v>211</v>
      </c>
      <c r="D67" s="11" t="s">
        <v>212</v>
      </c>
      <c r="E67" s="11" t="s">
        <v>201</v>
      </c>
      <c r="F67" s="11" t="s">
        <v>389</v>
      </c>
      <c r="G67" s="37">
        <v>8.0</v>
      </c>
      <c r="H67" s="11" t="s">
        <v>390</v>
      </c>
      <c r="I67" s="37">
        <v>6.7481037E8</v>
      </c>
      <c r="J67" s="11" t="s">
        <v>287</v>
      </c>
      <c r="K67" s="17" t="str">
        <f t="shared" si="1"/>
        <v>4810370</v>
      </c>
      <c r="L67" s="11" t="str">
        <f t="shared" si="2"/>
        <v>810370</v>
      </c>
    </row>
    <row r="68">
      <c r="A68" s="35">
        <v>67.0</v>
      </c>
      <c r="B68" s="36">
        <v>43214.835756319444</v>
      </c>
      <c r="C68" s="11" t="s">
        <v>213</v>
      </c>
      <c r="D68" s="11" t="s">
        <v>214</v>
      </c>
      <c r="E68" s="11" t="s">
        <v>391</v>
      </c>
      <c r="F68" s="11" t="s">
        <v>392</v>
      </c>
      <c r="G68" s="37">
        <v>8.0</v>
      </c>
      <c r="H68" s="11" t="s">
        <v>393</v>
      </c>
      <c r="I68" s="37">
        <v>6.3122809E8</v>
      </c>
      <c r="J68" s="11" t="s">
        <v>61</v>
      </c>
      <c r="K68" s="17" t="str">
        <f t="shared" si="1"/>
        <v>1228090</v>
      </c>
      <c r="L68" s="11" t="str">
        <f t="shared" si="2"/>
        <v>228090</v>
      </c>
    </row>
    <row r="69">
      <c r="A69" s="35">
        <v>68.0</v>
      </c>
      <c r="B69" s="36">
        <v>43214.836298842594</v>
      </c>
      <c r="C69" s="11" t="s">
        <v>213</v>
      </c>
      <c r="D69" s="11" t="s">
        <v>214</v>
      </c>
      <c r="E69" s="11" t="s">
        <v>391</v>
      </c>
      <c r="F69" s="11" t="s">
        <v>392</v>
      </c>
      <c r="G69" s="37">
        <v>8.0</v>
      </c>
      <c r="H69" s="11" t="s">
        <v>393</v>
      </c>
      <c r="I69" s="37">
        <v>6.3122809E8</v>
      </c>
      <c r="J69" s="11" t="s">
        <v>61</v>
      </c>
      <c r="K69" s="17" t="str">
        <f t="shared" si="1"/>
        <v>1228090</v>
      </c>
      <c r="L69" s="11" t="str">
        <f t="shared" si="2"/>
        <v>228090</v>
      </c>
    </row>
    <row r="70">
      <c r="A70" s="35">
        <v>69.0</v>
      </c>
      <c r="B70" s="36">
        <v>43214.83780148148</v>
      </c>
      <c r="C70" s="11" t="s">
        <v>394</v>
      </c>
      <c r="D70" s="11" t="s">
        <v>395</v>
      </c>
      <c r="E70" s="11" t="s">
        <v>391</v>
      </c>
      <c r="F70" s="11" t="s">
        <v>392</v>
      </c>
      <c r="G70" s="37">
        <v>8.0</v>
      </c>
      <c r="H70" s="11" t="s">
        <v>393</v>
      </c>
      <c r="I70" s="11" t="s">
        <v>209</v>
      </c>
      <c r="J70" s="11" t="s">
        <v>61</v>
      </c>
      <c r="K70" s="17" t="str">
        <f t="shared" si="1"/>
        <v>1228090</v>
      </c>
      <c r="L70" s="11" t="str">
        <f t="shared" si="2"/>
        <v>228090</v>
      </c>
    </row>
    <row r="71">
      <c r="A71" s="35">
        <v>70.0</v>
      </c>
      <c r="B71" s="36">
        <v>43214.84874751157</v>
      </c>
      <c r="C71" s="11" t="s">
        <v>219</v>
      </c>
      <c r="D71" s="11" t="s">
        <v>127</v>
      </c>
      <c r="E71" s="11" t="s">
        <v>110</v>
      </c>
      <c r="F71" s="11" t="s">
        <v>315</v>
      </c>
      <c r="G71" s="37">
        <v>8.0</v>
      </c>
      <c r="H71" s="11" t="s">
        <v>396</v>
      </c>
      <c r="I71" s="37">
        <v>9.69131074E8</v>
      </c>
      <c r="J71" s="11" t="s">
        <v>317</v>
      </c>
      <c r="K71" s="17" t="str">
        <f t="shared" si="1"/>
        <v>9131074</v>
      </c>
      <c r="L71" s="11" t="str">
        <f t="shared" si="2"/>
        <v>131074</v>
      </c>
    </row>
    <row r="72">
      <c r="A72" s="35">
        <v>71.0</v>
      </c>
      <c r="B72" s="36">
        <v>43215.014211643516</v>
      </c>
      <c r="C72" s="11" t="s">
        <v>397</v>
      </c>
      <c r="D72" s="11" t="s">
        <v>398</v>
      </c>
      <c r="E72" s="11" t="s">
        <v>30</v>
      </c>
      <c r="F72" s="11" t="s">
        <v>315</v>
      </c>
      <c r="G72" s="37">
        <v>7.0</v>
      </c>
      <c r="H72" s="11" t="s">
        <v>399</v>
      </c>
      <c r="I72" s="37">
        <v>5.02353219E8</v>
      </c>
      <c r="J72" s="11" t="s">
        <v>61</v>
      </c>
      <c r="K72" s="17" t="str">
        <f t="shared" si="1"/>
        <v>2353219</v>
      </c>
      <c r="L72" s="11" t="str">
        <f t="shared" si="2"/>
        <v>353219</v>
      </c>
    </row>
    <row r="73">
      <c r="A73" s="35">
        <v>72.0</v>
      </c>
      <c r="B73" s="36">
        <v>43215.01663115741</v>
      </c>
      <c r="C73" s="11" t="s">
        <v>394</v>
      </c>
      <c r="D73" s="11" t="s">
        <v>395</v>
      </c>
      <c r="E73" s="11" t="s">
        <v>391</v>
      </c>
      <c r="F73" s="11" t="s">
        <v>392</v>
      </c>
      <c r="G73" s="37">
        <v>8.0</v>
      </c>
      <c r="H73" s="11" t="s">
        <v>393</v>
      </c>
      <c r="I73" s="11" t="s">
        <v>209</v>
      </c>
      <c r="J73" s="11" t="s">
        <v>61</v>
      </c>
      <c r="K73" s="17" t="str">
        <f t="shared" si="1"/>
        <v>1228090</v>
      </c>
      <c r="L73" s="11" t="str">
        <f t="shared" si="2"/>
        <v>228090</v>
      </c>
    </row>
    <row r="74">
      <c r="A74" s="35">
        <v>73.0</v>
      </c>
      <c r="B74" s="36">
        <v>43215.89570289352</v>
      </c>
      <c r="C74" s="11" t="s">
        <v>223</v>
      </c>
      <c r="D74" s="11" t="s">
        <v>38</v>
      </c>
      <c r="E74" s="11" t="s">
        <v>39</v>
      </c>
      <c r="F74" s="11" t="s">
        <v>315</v>
      </c>
      <c r="G74" s="37">
        <v>7.0</v>
      </c>
      <c r="H74" s="11" t="s">
        <v>400</v>
      </c>
      <c r="I74" s="11" t="s">
        <v>215</v>
      </c>
      <c r="J74" s="11" t="s">
        <v>317</v>
      </c>
      <c r="K74" s="17" t="str">
        <f t="shared" si="1"/>
        <v>8897706</v>
      </c>
      <c r="L74" s="11" t="str">
        <f t="shared" si="2"/>
        <v>897706</v>
      </c>
    </row>
    <row r="75">
      <c r="A75" s="35">
        <v>74.0</v>
      </c>
      <c r="B75" s="36">
        <v>43216.86708162037</v>
      </c>
      <c r="C75" s="11" t="s">
        <v>223</v>
      </c>
      <c r="D75" s="11" t="s">
        <v>127</v>
      </c>
      <c r="E75" s="11" t="s">
        <v>39</v>
      </c>
      <c r="F75" s="11" t="s">
        <v>315</v>
      </c>
      <c r="G75" s="37">
        <v>7.0</v>
      </c>
      <c r="H75" s="11" t="s">
        <v>401</v>
      </c>
      <c r="I75" s="11" t="s">
        <v>216</v>
      </c>
      <c r="J75" s="11" t="s">
        <v>317</v>
      </c>
      <c r="K75" s="17" t="str">
        <f t="shared" si="1"/>
        <v>6512497</v>
      </c>
      <c r="L75" s="11" t="str">
        <f t="shared" si="2"/>
        <v>512497</v>
      </c>
    </row>
    <row r="76">
      <c r="A76" s="35">
        <v>75.0</v>
      </c>
      <c r="B76" s="36">
        <v>43217.383143900464</v>
      </c>
      <c r="C76" s="11" t="s">
        <v>226</v>
      </c>
      <c r="D76" s="11" t="s">
        <v>227</v>
      </c>
      <c r="E76" s="11" t="s">
        <v>402</v>
      </c>
      <c r="F76" s="11" t="s">
        <v>403</v>
      </c>
      <c r="G76" s="37">
        <v>10.0</v>
      </c>
      <c r="H76" s="11" t="s">
        <v>404</v>
      </c>
      <c r="I76" s="11" t="s">
        <v>218</v>
      </c>
      <c r="J76" s="11" t="s">
        <v>317</v>
      </c>
      <c r="K76" s="17" t="str">
        <f t="shared" si="1"/>
        <v>9643483</v>
      </c>
      <c r="L76" s="11" t="str">
        <f t="shared" si="2"/>
        <v>643483</v>
      </c>
    </row>
    <row r="77">
      <c r="A77" s="35">
        <v>76.0</v>
      </c>
      <c r="B77" s="36">
        <v>43217.50729016204</v>
      </c>
      <c r="C77" s="11" t="s">
        <v>229</v>
      </c>
      <c r="D77" s="11" t="s">
        <v>174</v>
      </c>
      <c r="E77" s="11" t="s">
        <v>48</v>
      </c>
      <c r="F77" s="37">
        <v>117.0</v>
      </c>
      <c r="G77" s="37">
        <v>7.0</v>
      </c>
      <c r="H77" s="11" t="s">
        <v>405</v>
      </c>
      <c r="I77" s="37">
        <v>9.69790701E8</v>
      </c>
      <c r="J77" s="11" t="s">
        <v>61</v>
      </c>
      <c r="K77" s="17" t="str">
        <f t="shared" si="1"/>
        <v>9790701</v>
      </c>
      <c r="L77" s="11" t="str">
        <f t="shared" si="2"/>
        <v>790701</v>
      </c>
    </row>
    <row r="78">
      <c r="A78" s="35">
        <v>77.0</v>
      </c>
      <c r="B78" s="36">
        <v>43217.7362290625</v>
      </c>
      <c r="C78" s="11" t="s">
        <v>231</v>
      </c>
      <c r="D78" s="11" t="s">
        <v>232</v>
      </c>
      <c r="E78" s="11" t="s">
        <v>233</v>
      </c>
      <c r="F78" s="11" t="s">
        <v>323</v>
      </c>
      <c r="G78" s="37">
        <v>8.0</v>
      </c>
      <c r="H78" s="11" t="s">
        <v>406</v>
      </c>
      <c r="I78" s="37">
        <v>9.72280502E8</v>
      </c>
      <c r="J78" s="11" t="s">
        <v>287</v>
      </c>
      <c r="K78" s="17" t="str">
        <f t="shared" si="1"/>
        <v>2280502</v>
      </c>
      <c r="L78" s="11" t="str">
        <f t="shared" si="2"/>
        <v>280502</v>
      </c>
    </row>
    <row r="79">
      <c r="A79" s="35">
        <v>78.0</v>
      </c>
      <c r="B79" s="36">
        <v>43219.654094618054</v>
      </c>
      <c r="C79" s="11" t="s">
        <v>234</v>
      </c>
      <c r="D79" s="11" t="s">
        <v>235</v>
      </c>
      <c r="E79" s="11" t="s">
        <v>236</v>
      </c>
      <c r="F79" s="37">
        <v>89.0</v>
      </c>
      <c r="G79" s="37">
        <v>10.0</v>
      </c>
      <c r="H79" s="11" t="s">
        <v>407</v>
      </c>
      <c r="I79" s="37">
        <v>9.73751882E8</v>
      </c>
      <c r="J79" s="11" t="s">
        <v>61</v>
      </c>
      <c r="K79" s="17" t="str">
        <f t="shared" si="1"/>
        <v>3751882</v>
      </c>
      <c r="L79" s="11" t="str">
        <f t="shared" si="2"/>
        <v>751882</v>
      </c>
    </row>
    <row r="80">
      <c r="A80" s="35">
        <v>79.0</v>
      </c>
      <c r="B80" s="36">
        <v>43219.6681107176</v>
      </c>
      <c r="C80" s="11" t="s">
        <v>237</v>
      </c>
      <c r="D80" s="11" t="s">
        <v>238</v>
      </c>
      <c r="E80" s="11" t="s">
        <v>239</v>
      </c>
      <c r="F80" s="11" t="s">
        <v>408</v>
      </c>
      <c r="G80" s="37">
        <v>10.0</v>
      </c>
      <c r="H80" s="11" t="s">
        <v>409</v>
      </c>
      <c r="I80" s="11" t="s">
        <v>224</v>
      </c>
      <c r="J80" s="11" t="s">
        <v>281</v>
      </c>
      <c r="K80" s="17" t="str">
        <f t="shared" si="1"/>
        <v>0494590</v>
      </c>
      <c r="L80" s="11" t="str">
        <f t="shared" si="2"/>
        <v>494590</v>
      </c>
    </row>
    <row r="81">
      <c r="A81" s="35">
        <v>80.0</v>
      </c>
      <c r="B81" s="36">
        <v>43219.92788028935</v>
      </c>
      <c r="C81" s="11" t="s">
        <v>237</v>
      </c>
      <c r="D81" s="11" t="s">
        <v>238</v>
      </c>
      <c r="E81" s="11" t="s">
        <v>239</v>
      </c>
      <c r="F81" s="11" t="s">
        <v>408</v>
      </c>
      <c r="G81" s="37">
        <v>10.0</v>
      </c>
      <c r="H81" s="11" t="s">
        <v>409</v>
      </c>
      <c r="I81" s="11" t="s">
        <v>224</v>
      </c>
      <c r="J81" s="11" t="s">
        <v>281</v>
      </c>
      <c r="K81" s="17" t="str">
        <f t="shared" si="1"/>
        <v>0494590</v>
      </c>
      <c r="L81" s="11" t="str">
        <f t="shared" si="2"/>
        <v>494590</v>
      </c>
    </row>
    <row r="82">
      <c r="A82" s="35">
        <v>81.0</v>
      </c>
      <c r="B82" s="36">
        <v>43219.96717991898</v>
      </c>
      <c r="C82" s="11" t="s">
        <v>237</v>
      </c>
      <c r="D82" s="11" t="s">
        <v>238</v>
      </c>
      <c r="E82" s="11" t="s">
        <v>239</v>
      </c>
      <c r="F82" s="11" t="s">
        <v>408</v>
      </c>
      <c r="G82" s="37">
        <v>10.0</v>
      </c>
      <c r="H82" s="11" t="s">
        <v>409</v>
      </c>
      <c r="I82" s="11" t="s">
        <v>224</v>
      </c>
      <c r="J82" s="11" t="s">
        <v>281</v>
      </c>
      <c r="K82" s="17" t="str">
        <f t="shared" si="1"/>
        <v>0494590</v>
      </c>
      <c r="L82" s="11" t="str">
        <f t="shared" si="2"/>
        <v>494590</v>
      </c>
    </row>
    <row r="83">
      <c r="A83" s="35">
        <v>82.0</v>
      </c>
      <c r="B83" s="36">
        <v>43220.41211024305</v>
      </c>
      <c r="C83" s="11" t="s">
        <v>141</v>
      </c>
      <c r="D83" s="11" t="s">
        <v>142</v>
      </c>
      <c r="E83" s="11" t="s">
        <v>70</v>
      </c>
      <c r="F83" s="11" t="s">
        <v>315</v>
      </c>
      <c r="G83" s="37">
        <v>8.0</v>
      </c>
      <c r="H83" s="11" t="s">
        <v>344</v>
      </c>
      <c r="I83" s="11" t="s">
        <v>150</v>
      </c>
      <c r="J83" s="11" t="s">
        <v>281</v>
      </c>
      <c r="K83" s="17" t="str">
        <f t="shared" si="1"/>
        <v>9494201</v>
      </c>
      <c r="L83" s="11" t="str">
        <f t="shared" si="2"/>
        <v>494201</v>
      </c>
    </row>
    <row r="84">
      <c r="A84" s="35">
        <v>83.0</v>
      </c>
      <c r="B84" s="36">
        <v>43220.78393302084</v>
      </c>
      <c r="C84" s="11" t="s">
        <v>410</v>
      </c>
      <c r="D84" s="11" t="s">
        <v>411</v>
      </c>
      <c r="E84" s="11" t="s">
        <v>33</v>
      </c>
      <c r="F84" s="11" t="s">
        <v>315</v>
      </c>
      <c r="G84" s="37">
        <v>8.0</v>
      </c>
      <c r="H84" s="11" t="s">
        <v>412</v>
      </c>
      <c r="I84" s="11" t="s">
        <v>225</v>
      </c>
      <c r="J84" s="11" t="s">
        <v>61</v>
      </c>
      <c r="K84" s="17" t="str">
        <f t="shared" si="1"/>
        <v>4154059</v>
      </c>
      <c r="L84" s="11" t="str">
        <f t="shared" si="2"/>
        <v>154059</v>
      </c>
    </row>
    <row r="85">
      <c r="A85" s="35">
        <v>84.0</v>
      </c>
      <c r="B85" s="36">
        <v>43220.81874940972</v>
      </c>
      <c r="C85" s="11" t="s">
        <v>246</v>
      </c>
      <c r="D85" s="11" t="s">
        <v>172</v>
      </c>
      <c r="E85" s="11" t="s">
        <v>247</v>
      </c>
      <c r="F85" s="11" t="s">
        <v>315</v>
      </c>
      <c r="G85" s="37">
        <v>7.0</v>
      </c>
      <c r="H85" s="11" t="s">
        <v>413</v>
      </c>
      <c r="I85" s="37">
        <v>6.7271023E8</v>
      </c>
      <c r="J85" s="11" t="s">
        <v>61</v>
      </c>
      <c r="K85" s="17" t="str">
        <f t="shared" si="1"/>
        <v>2710230</v>
      </c>
      <c r="L85" s="11" t="str">
        <f t="shared" si="2"/>
        <v>710230</v>
      </c>
    </row>
    <row r="86">
      <c r="A86" s="35">
        <v>85.0</v>
      </c>
      <c r="B86" s="36">
        <v>43220.894740625</v>
      </c>
      <c r="C86" s="11" t="s">
        <v>414</v>
      </c>
      <c r="D86" s="11" t="s">
        <v>358</v>
      </c>
      <c r="E86" s="11" t="s">
        <v>45</v>
      </c>
      <c r="F86" s="11" t="s">
        <v>315</v>
      </c>
      <c r="G86" s="37">
        <v>7.0</v>
      </c>
      <c r="H86" s="11" t="s">
        <v>415</v>
      </c>
      <c r="I86" s="37">
        <v>5.03160577E8</v>
      </c>
      <c r="J86" s="11" t="s">
        <v>281</v>
      </c>
      <c r="K86" s="17" t="str">
        <f t="shared" si="1"/>
        <v>3160577</v>
      </c>
      <c r="L86" s="11" t="str">
        <f t="shared" si="2"/>
        <v>160577</v>
      </c>
    </row>
    <row r="87">
      <c r="A87" s="35">
        <v>86.0</v>
      </c>
      <c r="B87" s="36">
        <v>43220.90941770833</v>
      </c>
      <c r="C87" s="11" t="s">
        <v>251</v>
      </c>
      <c r="D87" s="11" t="s">
        <v>227</v>
      </c>
      <c r="E87" s="11" t="s">
        <v>48</v>
      </c>
      <c r="F87" s="11" t="s">
        <v>416</v>
      </c>
      <c r="G87" s="37">
        <v>7.0</v>
      </c>
      <c r="H87" s="11" t="s">
        <v>417</v>
      </c>
      <c r="I87" s="37">
        <v>5.0490241E8</v>
      </c>
      <c r="J87" s="11" t="s">
        <v>281</v>
      </c>
      <c r="K87" s="17" t="str">
        <f t="shared" si="1"/>
        <v>4902410</v>
      </c>
      <c r="L87" s="11" t="str">
        <f t="shared" si="2"/>
        <v>902410</v>
      </c>
    </row>
    <row r="88">
      <c r="A88" s="35">
        <v>87.0</v>
      </c>
      <c r="B88" s="36">
        <v>43221.684536319444</v>
      </c>
      <c r="C88" s="11" t="s">
        <v>254</v>
      </c>
      <c r="D88" s="11" t="s">
        <v>102</v>
      </c>
      <c r="E88" s="11" t="s">
        <v>107</v>
      </c>
      <c r="F88" s="11" t="s">
        <v>315</v>
      </c>
      <c r="G88" s="37">
        <v>8.0</v>
      </c>
      <c r="H88" s="11" t="s">
        <v>418</v>
      </c>
      <c r="I88" s="37">
        <v>9.66381157E8</v>
      </c>
      <c r="J88" s="11" t="s">
        <v>287</v>
      </c>
      <c r="K88" s="17" t="str">
        <f t="shared" si="1"/>
        <v>6381157</v>
      </c>
      <c r="L88" s="11" t="str">
        <f t="shared" si="2"/>
        <v>381157</v>
      </c>
    </row>
    <row r="89">
      <c r="A89" s="35">
        <v>88.0</v>
      </c>
      <c r="B89" s="36">
        <v>43221.70603732639</v>
      </c>
      <c r="C89" s="11" t="s">
        <v>255</v>
      </c>
      <c r="D89" s="11" t="s">
        <v>172</v>
      </c>
      <c r="E89" s="11" t="s">
        <v>56</v>
      </c>
      <c r="F89" s="11" t="s">
        <v>315</v>
      </c>
      <c r="G89" s="37">
        <v>8.0</v>
      </c>
      <c r="H89" s="11" t="s">
        <v>419</v>
      </c>
      <c r="I89" s="37">
        <v>6.74850341E8</v>
      </c>
      <c r="J89" s="11" t="s">
        <v>287</v>
      </c>
      <c r="K89" s="17" t="str">
        <f t="shared" si="1"/>
        <v>4850341</v>
      </c>
      <c r="L89" s="11" t="str">
        <f t="shared" si="2"/>
        <v>850341</v>
      </c>
    </row>
    <row r="90">
      <c r="A90" s="35">
        <v>89.0</v>
      </c>
      <c r="B90" s="36">
        <v>43222.638804999995</v>
      </c>
      <c r="C90" s="11" t="s">
        <v>256</v>
      </c>
      <c r="D90" s="11" t="s">
        <v>66</v>
      </c>
      <c r="E90" s="11" t="s">
        <v>30</v>
      </c>
      <c r="F90" s="37">
        <v>46.0</v>
      </c>
      <c r="G90" s="37">
        <v>7.0</v>
      </c>
      <c r="H90" s="11" t="s">
        <v>420</v>
      </c>
      <c r="I90" s="11" t="s">
        <v>240</v>
      </c>
      <c r="J90" s="11" t="s">
        <v>287</v>
      </c>
      <c r="K90" s="17" t="str">
        <f t="shared" si="1"/>
        <v>1461917</v>
      </c>
      <c r="L90" s="11" t="str">
        <f t="shared" si="2"/>
        <v>461917</v>
      </c>
    </row>
    <row r="91">
      <c r="A91" s="35">
        <v>90.0</v>
      </c>
      <c r="B91" s="36">
        <v>43222.639153888886</v>
      </c>
      <c r="C91" s="11" t="s">
        <v>256</v>
      </c>
      <c r="D91" s="11" t="s">
        <v>66</v>
      </c>
      <c r="E91" s="11" t="s">
        <v>30</v>
      </c>
      <c r="F91" s="37">
        <v>46.0</v>
      </c>
      <c r="G91" s="37">
        <v>7.0</v>
      </c>
      <c r="H91" s="11" t="s">
        <v>420</v>
      </c>
      <c r="I91" s="11" t="s">
        <v>240</v>
      </c>
      <c r="J91" s="11" t="s">
        <v>287</v>
      </c>
      <c r="K91" s="17" t="str">
        <f t="shared" si="1"/>
        <v>1461917</v>
      </c>
      <c r="L91" s="11" t="str">
        <f t="shared" si="2"/>
        <v>461917</v>
      </c>
    </row>
    <row r="92">
      <c r="A92" s="35">
        <v>91.0</v>
      </c>
      <c r="B92" s="36">
        <v>43223.04565546296</v>
      </c>
      <c r="C92" s="11" t="s">
        <v>257</v>
      </c>
      <c r="D92" s="11" t="s">
        <v>258</v>
      </c>
      <c r="E92" s="11" t="s">
        <v>259</v>
      </c>
      <c r="F92" s="11" t="s">
        <v>421</v>
      </c>
      <c r="G92" s="37">
        <v>8.0</v>
      </c>
      <c r="H92" s="11" t="s">
        <v>422</v>
      </c>
      <c r="I92" s="37">
        <v>6.6651664E8</v>
      </c>
      <c r="J92" s="11" t="s">
        <v>61</v>
      </c>
      <c r="K92" s="17" t="str">
        <f t="shared" si="1"/>
        <v>6516640</v>
      </c>
      <c r="L92" s="11" t="str">
        <f t="shared" si="2"/>
        <v>516640</v>
      </c>
    </row>
    <row r="93">
      <c r="A93" s="35">
        <v>92.0</v>
      </c>
      <c r="B93" s="36">
        <v>43223.43724557871</v>
      </c>
      <c r="C93" s="11" t="s">
        <v>260</v>
      </c>
      <c r="D93" s="11" t="s">
        <v>172</v>
      </c>
      <c r="E93" s="11" t="s">
        <v>123</v>
      </c>
      <c r="F93" s="11" t="s">
        <v>423</v>
      </c>
      <c r="G93" s="37">
        <v>7.0</v>
      </c>
      <c r="H93" s="11" t="s">
        <v>424</v>
      </c>
      <c r="I93" s="11" t="s">
        <v>241</v>
      </c>
      <c r="J93" s="11" t="s">
        <v>61</v>
      </c>
      <c r="K93" s="17" t="str">
        <f t="shared" si="1"/>
        <v>5075418</v>
      </c>
      <c r="L93" s="11" t="str">
        <f t="shared" si="2"/>
        <v>075418</v>
      </c>
    </row>
    <row r="94">
      <c r="A94" s="35">
        <v>93.0</v>
      </c>
      <c r="B94" s="36">
        <v>43225.46594866898</v>
      </c>
      <c r="C94" s="11" t="s">
        <v>261</v>
      </c>
      <c r="D94" s="11" t="s">
        <v>109</v>
      </c>
      <c r="E94" s="11" t="s">
        <v>30</v>
      </c>
      <c r="F94" s="11" t="s">
        <v>425</v>
      </c>
      <c r="G94" s="37">
        <v>7.0</v>
      </c>
      <c r="H94" s="11" t="s">
        <v>426</v>
      </c>
      <c r="I94" s="37">
        <v>9.35299201E8</v>
      </c>
      <c r="J94" s="11" t="s">
        <v>287</v>
      </c>
      <c r="K94" s="17" t="str">
        <f t="shared" si="1"/>
        <v>5299201</v>
      </c>
      <c r="L94" s="11" t="str">
        <f t="shared" si="2"/>
        <v>299201</v>
      </c>
    </row>
    <row r="95">
      <c r="A95" s="35">
        <v>94.0</v>
      </c>
      <c r="B95" s="36">
        <v>43225.90491290509</v>
      </c>
      <c r="C95" s="11" t="s">
        <v>262</v>
      </c>
      <c r="D95" s="11" t="s">
        <v>58</v>
      </c>
      <c r="E95" s="11" t="s">
        <v>144</v>
      </c>
      <c r="F95" s="37">
        <v>46.0</v>
      </c>
      <c r="G95" s="37">
        <v>7.0</v>
      </c>
      <c r="H95" s="11" t="s">
        <v>427</v>
      </c>
      <c r="I95" s="11" t="s">
        <v>242</v>
      </c>
      <c r="J95" s="11" t="s">
        <v>61</v>
      </c>
      <c r="K95" s="17" t="str">
        <f t="shared" si="1"/>
        <v>0023504</v>
      </c>
      <c r="L95" s="11" t="str">
        <f t="shared" si="2"/>
        <v>023504</v>
      </c>
    </row>
    <row r="96">
      <c r="A96" s="35">
        <v>95.0</v>
      </c>
      <c r="B96" s="36">
        <v>43226.884886203705</v>
      </c>
      <c r="C96" s="11" t="s">
        <v>263</v>
      </c>
      <c r="D96" s="11" t="s">
        <v>174</v>
      </c>
      <c r="E96" s="11" t="s">
        <v>59</v>
      </c>
      <c r="F96" s="11" t="s">
        <v>428</v>
      </c>
      <c r="G96" s="37">
        <v>10.0</v>
      </c>
      <c r="H96" s="11" t="s">
        <v>429</v>
      </c>
      <c r="I96" s="11" t="s">
        <v>243</v>
      </c>
      <c r="J96" s="11" t="s">
        <v>281</v>
      </c>
      <c r="K96" s="17" t="str">
        <f t="shared" si="1"/>
        <v>8541298</v>
      </c>
      <c r="L96" s="11" t="str">
        <f t="shared" si="2"/>
        <v>541298</v>
      </c>
    </row>
    <row r="97">
      <c r="A97" s="35">
        <v>96.0</v>
      </c>
      <c r="B97" s="36">
        <v>43228.78617869213</v>
      </c>
      <c r="C97" s="11" t="s">
        <v>430</v>
      </c>
      <c r="D97" s="11" t="s">
        <v>38</v>
      </c>
      <c r="E97" s="11" t="s">
        <v>265</v>
      </c>
      <c r="F97" s="37">
        <v>22.0</v>
      </c>
      <c r="G97" s="37">
        <v>8.0</v>
      </c>
      <c r="H97" s="11" t="s">
        <v>431</v>
      </c>
      <c r="I97" s="37">
        <v>3.80676099308E11</v>
      </c>
      <c r="J97" s="11" t="s">
        <v>61</v>
      </c>
      <c r="K97" s="17" t="str">
        <f t="shared" si="1"/>
        <v>6099308</v>
      </c>
      <c r="L97" s="11" t="str">
        <f t="shared" si="2"/>
        <v>099308</v>
      </c>
    </row>
    <row r="98">
      <c r="A98" s="35">
        <v>97.0</v>
      </c>
      <c r="B98" s="36">
        <v>43229.62826737268</v>
      </c>
      <c r="C98" s="11" t="s">
        <v>266</v>
      </c>
      <c r="D98" s="11" t="s">
        <v>189</v>
      </c>
      <c r="E98" s="11" t="s">
        <v>267</v>
      </c>
      <c r="F98" s="37">
        <v>40.0</v>
      </c>
      <c r="G98" s="37">
        <v>7.0</v>
      </c>
      <c r="H98" s="11" t="s">
        <v>432</v>
      </c>
      <c r="I98" s="37">
        <v>6.72713602E8</v>
      </c>
      <c r="J98" s="11" t="s">
        <v>61</v>
      </c>
      <c r="K98" s="17" t="str">
        <f t="shared" si="1"/>
        <v>2713602</v>
      </c>
      <c r="L98" s="11" t="str">
        <f t="shared" si="2"/>
        <v>713602</v>
      </c>
    </row>
    <row r="99">
      <c r="A99" s="35">
        <v>98.0</v>
      </c>
      <c r="B99" s="36">
        <v>43230.61894202547</v>
      </c>
      <c r="C99" s="11" t="s">
        <v>173</v>
      </c>
      <c r="D99" s="11" t="s">
        <v>174</v>
      </c>
      <c r="E99" s="11" t="s">
        <v>144</v>
      </c>
      <c r="F99" s="11" t="s">
        <v>361</v>
      </c>
      <c r="G99" s="37">
        <v>7.0</v>
      </c>
      <c r="H99" s="11" t="s">
        <v>362</v>
      </c>
      <c r="I99" s="37">
        <v>5.03956665E8</v>
      </c>
      <c r="J99" s="11" t="s">
        <v>61</v>
      </c>
      <c r="K99" s="17" t="str">
        <f t="shared" si="1"/>
        <v>3956665</v>
      </c>
      <c r="L99" s="11" t="str">
        <f t="shared" si="2"/>
        <v>956665</v>
      </c>
    </row>
    <row r="100">
      <c r="A100" s="35">
        <v>99.0</v>
      </c>
      <c r="B100" s="36">
        <v>43230.76199540509</v>
      </c>
      <c r="C100" s="11" t="s">
        <v>268</v>
      </c>
      <c r="D100" s="11" t="s">
        <v>269</v>
      </c>
      <c r="E100" s="11" t="s">
        <v>270</v>
      </c>
      <c r="F100" s="11" t="s">
        <v>433</v>
      </c>
      <c r="G100" s="37">
        <v>10.0</v>
      </c>
      <c r="H100" s="11" t="s">
        <v>434</v>
      </c>
      <c r="I100" s="11" t="s">
        <v>248</v>
      </c>
      <c r="J100" s="11" t="s">
        <v>317</v>
      </c>
      <c r="K100" s="17" t="str">
        <f t="shared" si="1"/>
        <v>5001790</v>
      </c>
      <c r="L100" s="11" t="str">
        <f t="shared" si="2"/>
        <v>001790</v>
      </c>
    </row>
    <row r="101">
      <c r="A101" s="35">
        <v>100.0</v>
      </c>
      <c r="B101" s="36">
        <v>43230.91352628473</v>
      </c>
      <c r="C101" s="11" t="s">
        <v>271</v>
      </c>
      <c r="D101" s="11" t="s">
        <v>127</v>
      </c>
      <c r="E101" s="11" t="s">
        <v>123</v>
      </c>
      <c r="F101" s="11" t="s">
        <v>435</v>
      </c>
      <c r="G101" s="37">
        <v>7.0</v>
      </c>
      <c r="H101" s="11" t="s">
        <v>436</v>
      </c>
      <c r="I101" s="11" t="s">
        <v>250</v>
      </c>
      <c r="J101" s="11" t="s">
        <v>61</v>
      </c>
      <c r="K101" s="17" t="str">
        <f t="shared" si="1"/>
        <v>5-99-02</v>
      </c>
      <c r="L101" s="11" t="str">
        <f t="shared" si="2"/>
        <v>-99-02</v>
      </c>
    </row>
    <row r="102">
      <c r="A102" s="35">
        <v>101.0</v>
      </c>
      <c r="B102" s="36">
        <v>43231.51487150463</v>
      </c>
      <c r="C102" s="11" t="s">
        <v>437</v>
      </c>
      <c r="D102" s="11" t="s">
        <v>273</v>
      </c>
      <c r="E102" s="11" t="s">
        <v>438</v>
      </c>
      <c r="F102" s="11" t="s">
        <v>295</v>
      </c>
      <c r="G102" s="37">
        <v>7.0</v>
      </c>
      <c r="H102" s="11" t="s">
        <v>439</v>
      </c>
      <c r="I102" s="37">
        <v>9.76463984E8</v>
      </c>
      <c r="J102" s="11" t="s">
        <v>61</v>
      </c>
      <c r="K102" s="17" t="str">
        <f t="shared" si="1"/>
        <v>6463984</v>
      </c>
      <c r="L102" s="11" t="str">
        <f t="shared" si="2"/>
        <v>463984</v>
      </c>
    </row>
    <row r="103">
      <c r="A103" s="35">
        <v>102.0</v>
      </c>
      <c r="B103" s="36">
        <v>43231.53966725695</v>
      </c>
      <c r="C103" s="11" t="s">
        <v>440</v>
      </c>
      <c r="D103" s="11" t="s">
        <v>106</v>
      </c>
      <c r="E103" s="11" t="s">
        <v>107</v>
      </c>
      <c r="F103" s="37">
        <v>17.0</v>
      </c>
      <c r="G103" s="37">
        <v>7.0</v>
      </c>
      <c r="H103" s="11" t="s">
        <v>441</v>
      </c>
      <c r="I103" s="37">
        <v>9.73131789E8</v>
      </c>
      <c r="J103" s="11" t="s">
        <v>61</v>
      </c>
      <c r="K103" s="17" t="str">
        <f t="shared" si="1"/>
        <v>3131789</v>
      </c>
      <c r="L103" s="11" t="str">
        <f t="shared" si="2"/>
        <v>131789</v>
      </c>
    </row>
    <row r="104">
      <c r="A104" s="35">
        <v>103.0</v>
      </c>
      <c r="B104" s="11"/>
      <c r="C104" s="11" t="s">
        <v>442</v>
      </c>
      <c r="D104" s="11" t="s">
        <v>443</v>
      </c>
      <c r="E104" s="34" t="s">
        <v>59</v>
      </c>
      <c r="F104" s="11" t="s">
        <v>435</v>
      </c>
      <c r="G104" s="37">
        <v>8.0</v>
      </c>
      <c r="H104" s="11"/>
      <c r="I104" s="37">
        <v>9.71466009E8</v>
      </c>
      <c r="J104" s="11" t="s">
        <v>287</v>
      </c>
      <c r="K104" s="17" t="str">
        <f t="shared" si="1"/>
        <v>1466009</v>
      </c>
      <c r="L104" s="11" t="str">
        <f t="shared" si="2"/>
        <v>466009</v>
      </c>
    </row>
    <row r="105">
      <c r="A105" s="35">
        <v>104.0</v>
      </c>
      <c r="B105" s="11"/>
      <c r="C105" s="11" t="s">
        <v>277</v>
      </c>
      <c r="D105" s="11" t="s">
        <v>165</v>
      </c>
      <c r="E105" s="11"/>
      <c r="F105" s="11" t="s">
        <v>444</v>
      </c>
      <c r="G105" s="37">
        <v>9.0</v>
      </c>
      <c r="H105" s="39" t="s">
        <v>445</v>
      </c>
      <c r="I105" s="11"/>
      <c r="J105" s="11"/>
      <c r="K105" s="11"/>
      <c r="L105" s="11" t="str">
        <f t="shared" si="2"/>
        <v/>
      </c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</row>
  </sheetData>
  <hyperlinks>
    <hyperlink r:id="rId1" ref="H17"/>
  </hyperlinks>
  <drawing r:id="rId2"/>
</worksheet>
</file>