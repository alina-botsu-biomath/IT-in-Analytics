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2" sheetId="1" r:id="rId5"/>
    <sheet state="visible" name="Копія аркуша Аркуш2" sheetId="2" r:id="rId6"/>
    <sheet state="visible" name="Аркуш3" sheetId="3" r:id="rId7"/>
    <sheet state="visible" name="Аркуш6" sheetId="4" r:id="rId8"/>
    <sheet state="visible" name="Аркуш5" sheetId="5" r:id="rId9"/>
    <sheet state="visible" name="Аркуш4" sheetId="6" r:id="rId10"/>
  </sheets>
  <definedNames/>
  <calcPr/>
</workbook>
</file>

<file path=xl/sharedStrings.xml><?xml version="1.0" encoding="utf-8"?>
<sst xmlns="http://schemas.openxmlformats.org/spreadsheetml/2006/main" count="108" uniqueCount="56">
  <si>
    <t>I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</si>
  <si>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</si>
  <si>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</si>
  <si>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</si>
  <si>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</si>
  <si>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</si>
  <si>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</si>
  <si>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</si>
  <si>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</si>
  <si>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</si>
  <si>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</si>
  <si>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</si>
  <si>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</si>
  <si>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</t>
  </si>
  <si>
    <t>A0 — 1;</t>
  </si>
  <si>
    <t>A1 — местные отпускные цены в сотнях долларов;</t>
  </si>
  <si>
    <t>А2 — количество санузлов;</t>
  </si>
  <si>
    <t>a8 b</t>
  </si>
  <si>
    <t>А3 — площадь участка в тысячах квадратных футов;</t>
  </si>
  <si>
    <t>A4 — размер жилого помещения в тысячах квадратных футов;</t>
  </si>
  <si>
    <t>a10 b</t>
  </si>
  <si>
    <t>А5 — количество гаражей;</t>
  </si>
  <si>
    <t>А6 — количество комнат;</t>
  </si>
  <si>
    <t>a9 b</t>
  </si>
  <si>
    <t>A7 — количество спален;</t>
  </si>
  <si>
    <t>a5 b</t>
  </si>
  <si>
    <t>А8 — возраст дома в годах;</t>
  </si>
  <si>
    <t>A9 — 1 = кирпич, 2 = кирпич/дерево, 3 = алюминий/дерево, 4 =</t>
  </si>
  <si>
    <t>a11 b</t>
  </si>
  <si>
    <t>дерево;</t>
  </si>
  <si>
    <t>A10 — 1 = двухэтажный, 2 = двухуровневый, 3 = ранчо (одноэтажные</t>
  </si>
  <si>
    <t>a3 b</t>
  </si>
  <si>
    <t>дома, обычно построенные с открытой планировкой и выделенным</t>
  </si>
  <si>
    <t>a7 b</t>
  </si>
  <si>
    <t>внутренним двориком);</t>
  </si>
  <si>
    <t>А11 — количество каминов;</t>
  </si>
  <si>
    <t>a6 b</t>
  </si>
  <si>
    <t>B — цена продажи.</t>
  </si>
  <si>
    <t>a4 b</t>
  </si>
  <si>
    <t>a1 b</t>
  </si>
  <si>
    <t>a2 b</t>
  </si>
  <si>
    <t>вільний член</t>
  </si>
  <si>
    <t>коеф корреляцій</t>
  </si>
  <si>
    <t>МSE</t>
  </si>
  <si>
    <t>%=1\I14</t>
  </si>
  <si>
    <t>коефіціент лінійной моделі</t>
  </si>
  <si>
    <t>что мне дает этот коефыциент</t>
  </si>
  <si>
    <t>коефіціент кореляції</t>
  </si>
  <si>
    <t>коєфіціент K</t>
  </si>
  <si>
    <t>вільний член b</t>
  </si>
  <si>
    <t>коефіціент детермінації</t>
  </si>
  <si>
    <t>прогноз</t>
  </si>
  <si>
    <t>y_true</t>
  </si>
  <si>
    <t>y_forecast</t>
  </si>
  <si>
    <t>y_forecast_by_function</t>
  </si>
  <si>
    <t>linest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</si>
</sst>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&quot;Times New Roman&quot;"/>
    </font>
    <font>
      <color theme="1"/>
      <name val="Arial"/>
    </font>
    <font>
      <sz val="9.0"/>
      <color rgb="FF000000"/>
      <name val="&quot;Google Sans Mono&quot;"/>
    </font>
    <font>
      <color theme="1"/>
      <name val="Arial"/>
      <scheme val="minor"/>
    </font>
    <font>
      <sz val="12.0"/>
      <color theme="1"/>
      <name val="Times New Roman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shrinkToFit="0" vertical="bottom" wrapText="0"/>
    </xf>
    <xf borderId="0" fillId="5" fontId="3" numFmtId="0" xfId="0" applyAlignment="1" applyFill="1" applyFont="1">
      <alignment horizontal="left"/>
    </xf>
    <xf borderId="0" fillId="5" fontId="3" numFmtId="0" xfId="0" applyFont="1"/>
    <xf borderId="0" fillId="6" fontId="1" numFmtId="0" xfId="0" applyAlignment="1" applyFill="1" applyFont="1">
      <alignment horizontal="center" vertical="bottom"/>
    </xf>
    <xf borderId="0" fillId="4" fontId="2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0" fillId="0" fontId="2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0" fillId="7" fontId="4" numFmtId="0" xfId="0" applyFill="1" applyFont="1"/>
    <xf borderId="0" fillId="0" fontId="6" numFmtId="0" xfId="0" applyAlignment="1" applyFont="1">
      <alignment vertical="bottom"/>
    </xf>
    <xf borderId="5" fillId="3" fontId="5" numFmtId="0" xfId="0" applyAlignment="1" applyBorder="1" applyFont="1">
      <alignment horizontal="center" vertical="bottom"/>
    </xf>
    <xf borderId="6" fillId="0" fontId="4" numFmtId="0" xfId="0" applyBorder="1" applyFont="1"/>
    <xf borderId="7" fillId="0" fontId="4" numFmtId="0" xfId="0" applyBorder="1" applyFont="1"/>
    <xf borderId="8" fillId="3" fontId="5" numFmtId="0" xfId="0" applyAlignment="1" applyBorder="1" applyFont="1">
      <alignment horizontal="center" vertical="bottom"/>
    </xf>
    <xf borderId="9" fillId="0" fontId="4" numFmtId="0" xfId="0" applyBorder="1" applyFont="1"/>
    <xf borderId="10" fillId="3" fontId="5" numFmtId="0" xfId="0" applyAlignment="1" applyBorder="1" applyFont="1">
      <alignment horizontal="center" vertical="bottom"/>
    </xf>
    <xf borderId="11" fillId="0" fontId="4" numFmtId="0" xfId="0" applyBorder="1" applyFont="1"/>
    <xf borderId="12" fillId="0" fontId="4" numFmtId="0" xfId="0" applyBorder="1" applyFont="1"/>
    <xf borderId="0" fillId="0" fontId="5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3" fontId="5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Selling price (ціна продажу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'Аркуш6'!$B$2:$B$29</c:f>
              <c:numCache/>
            </c:numRef>
          </c:val>
        </c:ser>
        <c:axId val="296499034"/>
        <c:axId val="1559507282"/>
      </c:barChart>
      <c:catAx>
        <c:axId val="296499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507282"/>
      </c:catAx>
      <c:valAx>
        <c:axId val="1559507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499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y_forecast/y_true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'Аркуш6'!$F$10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Пряма для набору даних "y_true"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'Аркуш6'!$F$11:$F$15</c:f>
              <c:numCache/>
            </c:numRef>
          </c:val>
          <c:smooth val="0"/>
        </c:ser>
        <c:ser>
          <c:idx val="1"/>
          <c:order val="1"/>
          <c:tx>
            <c:strRef>
              <c:f>'Аркуш6'!$G$10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>Пряма для набору даних "y_forecast"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'Аркуш6'!$G$11:$G$15</c:f>
              <c:numCache/>
            </c:numRef>
          </c:val>
          <c:smooth val="0"/>
        </c:ser>
        <c:axId val="1825514834"/>
        <c:axId val="1958470218"/>
      </c:lineChart>
      <c:catAx>
        <c:axId val="182551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470218"/>
      </c:catAx>
      <c:valAx>
        <c:axId val="1958470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y_forecast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514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y_forecast_by_function/y_true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'Аркуш6'!$F$10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Пряма для набору даних "y_true"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'Аркуш6'!$F$11:$F$15</c:f>
              <c:numCache/>
            </c:numRef>
          </c:val>
          <c:smooth val="0"/>
        </c:ser>
        <c:ser>
          <c:idx val="1"/>
          <c:order val="1"/>
          <c:tx>
            <c:strRef>
              <c:f>'Аркуш6'!$H$10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Пряма для набору даних "y_forecast_by_function"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'Аркуш6'!$H$11:$H$14</c:f>
              <c:numCache/>
            </c:numRef>
          </c:val>
          <c:smooth val="0"/>
        </c:ser>
        <c:axId val="1273993101"/>
        <c:axId val="1883380102"/>
      </c:lineChart>
      <c:catAx>
        <c:axId val="1273993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380102"/>
      </c:catAx>
      <c:valAx>
        <c:axId val="1883380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y_forecast_by_function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993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'Аркуш4'!$A$1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'Аркуш4'!$A$2:$A$29</c:f>
              <c:numCache/>
            </c:numRef>
          </c:val>
        </c:ser>
        <c:axId val="1840539240"/>
        <c:axId val="1460670347"/>
      </c:barChart>
      <c:catAx>
        <c:axId val="184053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670347"/>
      </c:catAx>
      <c:valAx>
        <c:axId val="1460670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539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942975</xdr:colOff>
      <xdr:row>0</xdr:row>
      <xdr:rowOff>190500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304800</xdr:colOff>
      <xdr:row>0</xdr:row>
      <xdr:rowOff>190500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266700</xdr:colOff>
      <xdr:row>11</xdr:row>
      <xdr:rowOff>123825</xdr:rowOff>
    </xdr:from>
    <xdr:ext cx="5715000" cy="35337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904875</xdr:colOff>
      <xdr:row>2</xdr:row>
      <xdr:rowOff>152400</xdr:rowOff>
    </xdr:from>
    <xdr:ext cx="5715000" cy="3533775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>
        <v>1.0</v>
      </c>
      <c r="C2" s="2">
        <v>4.9176</v>
      </c>
      <c r="D2" s="2">
        <v>1.0</v>
      </c>
      <c r="E2" s="2">
        <v>3.472</v>
      </c>
      <c r="F2" s="2">
        <v>0.998</v>
      </c>
      <c r="G2" s="2">
        <v>1.0</v>
      </c>
      <c r="H2" s="2">
        <v>7.0</v>
      </c>
      <c r="I2" s="2">
        <v>4.0</v>
      </c>
      <c r="J2" s="2">
        <v>42.0</v>
      </c>
      <c r="K2" s="2">
        <v>3.0</v>
      </c>
      <c r="L2" s="2">
        <v>1.0</v>
      </c>
      <c r="M2" s="2">
        <v>0.0</v>
      </c>
      <c r="N2" s="4">
        <v>25.9</v>
      </c>
    </row>
    <row r="3">
      <c r="A3" s="2">
        <v>2.0</v>
      </c>
      <c r="B3" s="2">
        <v>1.0</v>
      </c>
      <c r="C3" s="2">
        <v>5.0208</v>
      </c>
      <c r="D3" s="2">
        <v>1.0</v>
      </c>
      <c r="E3" s="2">
        <v>3.531</v>
      </c>
      <c r="F3" s="2">
        <v>1.5</v>
      </c>
      <c r="G3" s="2">
        <v>2.0</v>
      </c>
      <c r="H3" s="2">
        <v>7.0</v>
      </c>
      <c r="I3" s="2">
        <v>4.0</v>
      </c>
      <c r="J3" s="2">
        <v>62.0</v>
      </c>
      <c r="K3" s="2">
        <v>1.0</v>
      </c>
      <c r="L3" s="2">
        <v>1.0</v>
      </c>
      <c r="M3" s="2">
        <v>0.0</v>
      </c>
      <c r="N3" s="4">
        <v>29.5</v>
      </c>
    </row>
    <row r="4">
      <c r="A4" s="2">
        <v>3.0</v>
      </c>
      <c r="B4" s="2">
        <v>1.0</v>
      </c>
      <c r="C4" s="2">
        <v>4.5429</v>
      </c>
      <c r="D4" s="2">
        <v>1.0</v>
      </c>
      <c r="E4" s="2">
        <v>2.275</v>
      </c>
      <c r="F4" s="2">
        <v>1.175</v>
      </c>
      <c r="G4" s="2">
        <v>1.0</v>
      </c>
      <c r="H4" s="2">
        <v>6.0</v>
      </c>
      <c r="I4" s="2">
        <v>3.0</v>
      </c>
      <c r="J4" s="2">
        <v>40.0</v>
      </c>
      <c r="K4" s="2">
        <v>2.0</v>
      </c>
      <c r="L4" s="2">
        <v>1.0</v>
      </c>
      <c r="M4" s="2">
        <v>0.0</v>
      </c>
      <c r="N4" s="4">
        <v>27.9</v>
      </c>
    </row>
    <row r="5">
      <c r="A5" s="2">
        <v>4.0</v>
      </c>
      <c r="B5" s="2">
        <v>1.0</v>
      </c>
      <c r="C5" s="2">
        <v>4.5573</v>
      </c>
      <c r="D5" s="2">
        <v>1.0</v>
      </c>
      <c r="E5" s="2">
        <v>4.05</v>
      </c>
      <c r="F5" s="2">
        <v>1.232</v>
      </c>
      <c r="G5" s="2">
        <v>1.0</v>
      </c>
      <c r="H5" s="2">
        <v>6.0</v>
      </c>
      <c r="I5" s="2">
        <v>3.0</v>
      </c>
      <c r="J5" s="2">
        <v>54.0</v>
      </c>
      <c r="K5" s="2">
        <v>4.0</v>
      </c>
      <c r="L5" s="2">
        <v>1.0</v>
      </c>
      <c r="M5" s="2">
        <v>0.0</v>
      </c>
      <c r="N5" s="4">
        <v>25.9</v>
      </c>
    </row>
    <row r="6">
      <c r="A6" s="2">
        <v>5.0</v>
      </c>
      <c r="B6" s="2">
        <v>1.0</v>
      </c>
      <c r="C6" s="2">
        <v>5.0597</v>
      </c>
      <c r="D6" s="2">
        <v>1.0</v>
      </c>
      <c r="E6" s="2">
        <v>4.455</v>
      </c>
      <c r="F6" s="2">
        <v>1.121</v>
      </c>
      <c r="G6" s="2">
        <v>1.0</v>
      </c>
      <c r="H6" s="2">
        <v>6.0</v>
      </c>
      <c r="I6" s="2">
        <v>3.0</v>
      </c>
      <c r="J6" s="2">
        <v>42.0</v>
      </c>
      <c r="K6" s="2">
        <v>3.0</v>
      </c>
      <c r="L6" s="2">
        <v>1.0</v>
      </c>
      <c r="M6" s="2">
        <v>0.0</v>
      </c>
      <c r="N6" s="4">
        <v>29.9</v>
      </c>
    </row>
    <row r="7">
      <c r="A7" s="2">
        <v>6.0</v>
      </c>
      <c r="B7" s="2">
        <v>1.0</v>
      </c>
      <c r="C7" s="2">
        <v>3.891</v>
      </c>
      <c r="D7" s="2">
        <v>1.0</v>
      </c>
      <c r="E7" s="2">
        <v>4.455</v>
      </c>
      <c r="F7" s="2">
        <v>0.988</v>
      </c>
      <c r="G7" s="2">
        <v>1.0</v>
      </c>
      <c r="H7" s="2">
        <v>6.0</v>
      </c>
      <c r="I7" s="2">
        <v>3.0</v>
      </c>
      <c r="J7" s="2">
        <v>56.0</v>
      </c>
      <c r="K7" s="2">
        <v>2.0</v>
      </c>
      <c r="L7" s="2">
        <v>1.0</v>
      </c>
      <c r="M7" s="2">
        <v>0.0</v>
      </c>
      <c r="N7" s="4">
        <v>29.9</v>
      </c>
    </row>
    <row r="8">
      <c r="A8" s="2">
        <v>7.0</v>
      </c>
      <c r="B8" s="2">
        <v>1.0</v>
      </c>
      <c r="C8" s="2">
        <v>5.898</v>
      </c>
      <c r="D8" s="2">
        <v>1.0</v>
      </c>
      <c r="E8" s="2">
        <v>5.85</v>
      </c>
      <c r="F8" s="2">
        <v>1.24</v>
      </c>
      <c r="G8" s="2">
        <v>1.0</v>
      </c>
      <c r="H8" s="2">
        <v>7.0</v>
      </c>
      <c r="I8" s="2">
        <v>3.0</v>
      </c>
      <c r="J8" s="2">
        <v>51.0</v>
      </c>
      <c r="K8" s="2">
        <v>2.0</v>
      </c>
      <c r="L8" s="2">
        <v>1.0</v>
      </c>
      <c r="M8" s="2">
        <v>1.0</v>
      </c>
      <c r="N8" s="4">
        <v>30.9</v>
      </c>
    </row>
    <row r="9">
      <c r="A9" s="2">
        <v>8.0</v>
      </c>
      <c r="B9" s="2">
        <v>1.0</v>
      </c>
      <c r="C9" s="2">
        <v>5.6039</v>
      </c>
      <c r="D9" s="2">
        <v>1.0</v>
      </c>
      <c r="E9" s="2">
        <v>9.52</v>
      </c>
      <c r="F9" s="2">
        <v>1.501</v>
      </c>
      <c r="G9" s="2">
        <v>0.0</v>
      </c>
      <c r="H9" s="2">
        <v>6.0</v>
      </c>
      <c r="I9" s="2">
        <v>3.0</v>
      </c>
      <c r="J9" s="2">
        <v>32.0</v>
      </c>
      <c r="K9" s="2">
        <v>1.0</v>
      </c>
      <c r="L9" s="2">
        <v>1.0</v>
      </c>
      <c r="M9" s="2">
        <v>0.0</v>
      </c>
      <c r="N9" s="4">
        <v>28.9</v>
      </c>
    </row>
    <row r="10">
      <c r="A10" s="2">
        <v>9.0</v>
      </c>
      <c r="B10" s="2">
        <v>1.0</v>
      </c>
      <c r="C10" s="2">
        <v>16.4202</v>
      </c>
      <c r="D10" s="2">
        <v>2.5</v>
      </c>
      <c r="E10" s="2">
        <v>9.8</v>
      </c>
      <c r="F10" s="2">
        <v>3.42</v>
      </c>
      <c r="G10" s="2">
        <v>2.0</v>
      </c>
      <c r="H10" s="2">
        <v>10.0</v>
      </c>
      <c r="I10" s="2">
        <v>5.0</v>
      </c>
      <c r="J10" s="2">
        <v>42.0</v>
      </c>
      <c r="K10" s="2">
        <v>2.0</v>
      </c>
      <c r="L10" s="2">
        <v>1.0</v>
      </c>
      <c r="M10" s="2">
        <v>1.0</v>
      </c>
      <c r="N10" s="4">
        <v>84.9</v>
      </c>
    </row>
    <row r="11">
      <c r="A11" s="2">
        <v>10.0</v>
      </c>
      <c r="B11" s="2">
        <v>1.0</v>
      </c>
      <c r="C11" s="2">
        <v>14.4598</v>
      </c>
      <c r="D11" s="2">
        <v>2.5</v>
      </c>
      <c r="E11" s="2">
        <v>12.8</v>
      </c>
      <c r="F11" s="2">
        <v>3.0</v>
      </c>
      <c r="G11" s="2">
        <v>2.0</v>
      </c>
      <c r="H11" s="2">
        <v>9.0</v>
      </c>
      <c r="I11" s="2">
        <v>5.0</v>
      </c>
      <c r="J11" s="2">
        <v>14.0</v>
      </c>
      <c r="K11" s="2">
        <v>4.0</v>
      </c>
      <c r="L11" s="2">
        <v>1.0</v>
      </c>
      <c r="M11" s="2">
        <v>1.0</v>
      </c>
      <c r="N11" s="4">
        <v>82.9</v>
      </c>
    </row>
    <row r="12">
      <c r="A12" s="2">
        <v>11.0</v>
      </c>
      <c r="B12" s="2">
        <v>1.0</v>
      </c>
      <c r="C12" s="2">
        <v>5.8282</v>
      </c>
      <c r="D12" s="2">
        <v>1.0</v>
      </c>
      <c r="E12" s="2">
        <v>6.435</v>
      </c>
      <c r="F12" s="2">
        <v>1.225</v>
      </c>
      <c r="G12" s="2">
        <v>2.0</v>
      </c>
      <c r="H12" s="2">
        <v>6.0</v>
      </c>
      <c r="I12" s="2">
        <v>3.0</v>
      </c>
      <c r="J12" s="2">
        <v>32.0</v>
      </c>
      <c r="K12" s="2">
        <v>1.0</v>
      </c>
      <c r="L12" s="2">
        <v>1.0</v>
      </c>
      <c r="M12" s="2">
        <v>0.0</v>
      </c>
      <c r="N12" s="4">
        <v>35.9</v>
      </c>
    </row>
    <row r="13">
      <c r="A13" s="2">
        <v>12.0</v>
      </c>
      <c r="B13" s="2">
        <v>1.0</v>
      </c>
      <c r="C13" s="2">
        <v>5.3003</v>
      </c>
      <c r="D13" s="2">
        <v>1.0</v>
      </c>
      <c r="E13" s="2">
        <v>4.9883</v>
      </c>
      <c r="F13" s="2">
        <v>1.552</v>
      </c>
      <c r="G13" s="2">
        <v>1.0</v>
      </c>
      <c r="H13" s="2">
        <v>6.0</v>
      </c>
      <c r="I13" s="2">
        <v>3.0</v>
      </c>
      <c r="J13" s="2">
        <v>30.0</v>
      </c>
      <c r="K13" s="2">
        <v>1.0</v>
      </c>
      <c r="L13" s="2">
        <v>2.0</v>
      </c>
      <c r="M13" s="2">
        <v>0.0</v>
      </c>
      <c r="N13" s="4">
        <v>31.5</v>
      </c>
    </row>
    <row r="14">
      <c r="A14" s="2">
        <v>13.0</v>
      </c>
      <c r="B14" s="2">
        <v>1.0</v>
      </c>
      <c r="C14" s="2">
        <v>6.2712</v>
      </c>
      <c r="D14" s="2">
        <v>1.0</v>
      </c>
      <c r="E14" s="2">
        <v>5.52</v>
      </c>
      <c r="F14" s="2">
        <v>0.975</v>
      </c>
      <c r="G14" s="2">
        <v>1.0</v>
      </c>
      <c r="H14" s="2">
        <v>5.0</v>
      </c>
      <c r="I14" s="2">
        <v>2.0</v>
      </c>
      <c r="J14" s="2">
        <v>30.0</v>
      </c>
      <c r="K14" s="2">
        <v>1.0</v>
      </c>
      <c r="L14" s="2">
        <v>2.0</v>
      </c>
      <c r="M14" s="2">
        <v>0.0</v>
      </c>
      <c r="N14" s="4">
        <v>31.0</v>
      </c>
    </row>
    <row r="15">
      <c r="A15" s="2">
        <v>14.0</v>
      </c>
      <c r="B15" s="2">
        <v>1.0</v>
      </c>
      <c r="C15" s="2">
        <v>5.9592</v>
      </c>
      <c r="D15" s="2">
        <v>1.0</v>
      </c>
      <c r="E15" s="2">
        <v>6.666</v>
      </c>
      <c r="F15" s="2">
        <v>1.121</v>
      </c>
      <c r="G15" s="2">
        <v>2.0</v>
      </c>
      <c r="H15" s="2">
        <v>6.0</v>
      </c>
      <c r="I15" s="2">
        <v>3.0</v>
      </c>
      <c r="J15" s="2">
        <v>32.0</v>
      </c>
      <c r="K15" s="2">
        <v>2.0</v>
      </c>
      <c r="L15" s="2">
        <v>1.0</v>
      </c>
      <c r="M15" s="2">
        <v>0.0</v>
      </c>
      <c r="N15" s="4">
        <v>30.9</v>
      </c>
    </row>
    <row r="16">
      <c r="A16" s="2">
        <v>15.0</v>
      </c>
      <c r="B16" s="2">
        <v>1.0</v>
      </c>
      <c r="C16" s="2">
        <v>5.05</v>
      </c>
      <c r="D16" s="2">
        <v>1.0</v>
      </c>
      <c r="E16" s="2">
        <v>5.0</v>
      </c>
      <c r="F16" s="2">
        <v>1.02</v>
      </c>
      <c r="G16" s="2">
        <v>0.0</v>
      </c>
      <c r="H16" s="2">
        <v>5.0</v>
      </c>
      <c r="I16" s="2">
        <v>2.0</v>
      </c>
      <c r="J16" s="2">
        <v>46.0</v>
      </c>
      <c r="K16" s="2">
        <v>4.0</v>
      </c>
      <c r="L16" s="2">
        <v>1.0</v>
      </c>
      <c r="M16" s="2">
        <v>1.0</v>
      </c>
      <c r="N16" s="4">
        <v>30.0</v>
      </c>
    </row>
    <row r="17">
      <c r="A17" s="2">
        <v>16.0</v>
      </c>
      <c r="B17" s="2">
        <v>1.0</v>
      </c>
      <c r="C17" s="2">
        <v>5.6039</v>
      </c>
      <c r="D17" s="2">
        <v>1.0</v>
      </c>
      <c r="E17" s="2">
        <v>9.52</v>
      </c>
      <c r="F17" s="2">
        <v>1.501</v>
      </c>
      <c r="G17" s="2">
        <v>0.0</v>
      </c>
      <c r="H17" s="2">
        <v>6.0</v>
      </c>
      <c r="I17" s="2">
        <v>3.0</v>
      </c>
      <c r="J17" s="2">
        <v>32.0</v>
      </c>
      <c r="K17" s="2">
        <v>1.0</v>
      </c>
      <c r="L17" s="2">
        <v>1.0</v>
      </c>
      <c r="M17" s="2">
        <v>0.0</v>
      </c>
      <c r="N17" s="4">
        <v>28.9</v>
      </c>
    </row>
    <row r="18">
      <c r="A18" s="2">
        <v>17.0</v>
      </c>
      <c r="B18" s="2">
        <v>1.0</v>
      </c>
      <c r="C18" s="2">
        <v>8.2464</v>
      </c>
      <c r="D18" s="2">
        <v>1.5</v>
      </c>
      <c r="E18" s="2">
        <v>5.15</v>
      </c>
      <c r="F18" s="2">
        <v>1.664</v>
      </c>
      <c r="G18" s="2">
        <v>2.0</v>
      </c>
      <c r="H18" s="2">
        <v>8.0</v>
      </c>
      <c r="I18" s="2">
        <v>4.0</v>
      </c>
      <c r="J18" s="2">
        <v>50.0</v>
      </c>
      <c r="K18" s="2">
        <v>4.0</v>
      </c>
      <c r="L18" s="2">
        <v>1.0</v>
      </c>
      <c r="M18" s="2">
        <v>0.0</v>
      </c>
      <c r="N18" s="4">
        <v>36.9</v>
      </c>
    </row>
    <row r="19">
      <c r="A19" s="2">
        <v>18.0</v>
      </c>
      <c r="B19" s="2">
        <v>1.0</v>
      </c>
      <c r="C19" s="2">
        <v>6.6969</v>
      </c>
      <c r="D19" s="2">
        <v>1.5</v>
      </c>
      <c r="E19" s="2">
        <v>6.902</v>
      </c>
      <c r="F19" s="2">
        <v>1.488</v>
      </c>
      <c r="G19" s="2">
        <v>1.5</v>
      </c>
      <c r="H19" s="2">
        <v>7.0</v>
      </c>
      <c r="I19" s="2">
        <v>3.0</v>
      </c>
      <c r="J19" s="2">
        <v>22.0</v>
      </c>
      <c r="K19" s="2">
        <v>1.0</v>
      </c>
      <c r="L19" s="2">
        <v>1.0</v>
      </c>
      <c r="M19" s="2">
        <v>1.0</v>
      </c>
      <c r="N19" s="4">
        <v>41.9</v>
      </c>
    </row>
    <row r="20">
      <c r="A20" s="2">
        <v>19.0</v>
      </c>
      <c r="B20" s="2">
        <v>1.0</v>
      </c>
      <c r="C20" s="2">
        <v>7.7841</v>
      </c>
      <c r="D20" s="2">
        <v>1.5</v>
      </c>
      <c r="E20" s="2">
        <v>7.102</v>
      </c>
      <c r="F20" s="2">
        <v>1.376</v>
      </c>
      <c r="G20" s="2">
        <v>1.0</v>
      </c>
      <c r="H20" s="2">
        <v>6.0</v>
      </c>
      <c r="I20" s="2">
        <v>3.0</v>
      </c>
      <c r="J20" s="2">
        <v>17.0</v>
      </c>
      <c r="K20" s="2">
        <v>2.0</v>
      </c>
      <c r="L20" s="2">
        <v>1.0</v>
      </c>
      <c r="M20" s="2">
        <v>0.0</v>
      </c>
      <c r="N20" s="4">
        <v>40.5</v>
      </c>
    </row>
    <row r="21">
      <c r="A21" s="2">
        <v>20.0</v>
      </c>
      <c r="B21" s="2">
        <v>1.0</v>
      </c>
      <c r="C21" s="2">
        <v>9.0384</v>
      </c>
      <c r="D21" s="2">
        <v>1.0</v>
      </c>
      <c r="E21" s="2">
        <v>7.8</v>
      </c>
      <c r="F21" s="2">
        <v>1.5</v>
      </c>
      <c r="G21" s="2">
        <v>1.5</v>
      </c>
      <c r="H21" s="2">
        <v>7.0</v>
      </c>
      <c r="I21" s="2">
        <v>3.0</v>
      </c>
      <c r="J21" s="2">
        <v>23.0</v>
      </c>
      <c r="K21" s="2">
        <v>3.0</v>
      </c>
      <c r="L21" s="2">
        <v>3.0</v>
      </c>
      <c r="M21" s="2">
        <v>0.0</v>
      </c>
      <c r="N21" s="4">
        <v>43.9</v>
      </c>
    </row>
    <row r="22">
      <c r="A22" s="2">
        <v>21.0</v>
      </c>
      <c r="B22" s="2">
        <v>1.0</v>
      </c>
      <c r="C22" s="2">
        <v>5.9894</v>
      </c>
      <c r="D22" s="2">
        <v>1.0</v>
      </c>
      <c r="E22" s="2">
        <v>5.52</v>
      </c>
      <c r="F22" s="2">
        <v>1.256</v>
      </c>
      <c r="G22" s="2">
        <v>2.0</v>
      </c>
      <c r="H22" s="2">
        <v>6.0</v>
      </c>
      <c r="I22" s="2">
        <v>3.0</v>
      </c>
      <c r="J22" s="2">
        <v>40.0</v>
      </c>
      <c r="K22" s="2">
        <v>4.0</v>
      </c>
      <c r="L22" s="2">
        <v>1.0</v>
      </c>
      <c r="M22" s="2">
        <v>1.0</v>
      </c>
      <c r="N22" s="4">
        <v>37.5</v>
      </c>
    </row>
    <row r="23">
      <c r="A23" s="2">
        <v>22.0</v>
      </c>
      <c r="B23" s="2">
        <v>1.0</v>
      </c>
      <c r="C23" s="2">
        <v>7.5422</v>
      </c>
      <c r="D23" s="2">
        <v>1.5</v>
      </c>
      <c r="E23" s="2">
        <v>4.0</v>
      </c>
      <c r="F23" s="2">
        <v>1.69</v>
      </c>
      <c r="G23" s="2">
        <v>1.0</v>
      </c>
      <c r="H23" s="2">
        <v>6.0</v>
      </c>
      <c r="I23" s="2">
        <v>3.0</v>
      </c>
      <c r="J23" s="2">
        <v>22.0</v>
      </c>
      <c r="K23" s="2">
        <v>1.0</v>
      </c>
      <c r="L23" s="2">
        <v>1.0</v>
      </c>
      <c r="M23" s="2">
        <v>0.0</v>
      </c>
      <c r="N23" s="4">
        <v>37.9</v>
      </c>
    </row>
    <row r="24">
      <c r="A24" s="2">
        <v>23.0</v>
      </c>
      <c r="B24" s="2">
        <v>1.0</v>
      </c>
      <c r="C24" s="2">
        <v>8.7951</v>
      </c>
      <c r="D24" s="2">
        <v>1.5</v>
      </c>
      <c r="E24" s="2">
        <v>9.89</v>
      </c>
      <c r="F24" s="2">
        <v>1.82</v>
      </c>
      <c r="G24" s="2">
        <v>2.0</v>
      </c>
      <c r="H24" s="2">
        <v>8.0</v>
      </c>
      <c r="I24" s="2">
        <v>4.0</v>
      </c>
      <c r="J24" s="2">
        <v>50.0</v>
      </c>
      <c r="K24" s="2">
        <v>1.0</v>
      </c>
      <c r="L24" s="2">
        <v>1.0</v>
      </c>
      <c r="M24" s="2">
        <v>1.0</v>
      </c>
      <c r="N24" s="4">
        <v>44.5</v>
      </c>
    </row>
    <row r="25">
      <c r="A25" s="2">
        <v>24.0</v>
      </c>
      <c r="B25" s="2">
        <v>1.0</v>
      </c>
      <c r="C25" s="2">
        <v>6.0931</v>
      </c>
      <c r="D25" s="2">
        <v>1.5</v>
      </c>
      <c r="E25" s="2">
        <v>6.7265</v>
      </c>
      <c r="F25" s="2">
        <v>1.652</v>
      </c>
      <c r="G25" s="2">
        <v>1.0</v>
      </c>
      <c r="H25" s="2">
        <v>6.0</v>
      </c>
      <c r="I25" s="2">
        <v>3.0</v>
      </c>
      <c r="J25" s="2">
        <v>44.0</v>
      </c>
      <c r="K25" s="2">
        <v>4.0</v>
      </c>
      <c r="L25" s="2">
        <v>1.0</v>
      </c>
      <c r="M25" s="2">
        <v>0.0</v>
      </c>
      <c r="N25" s="4">
        <v>37.9</v>
      </c>
    </row>
    <row r="26">
      <c r="A26" s="2">
        <v>25.0</v>
      </c>
      <c r="B26" s="2">
        <v>1.0</v>
      </c>
      <c r="C26" s="2">
        <v>8.3607</v>
      </c>
      <c r="D26" s="2">
        <v>1.5</v>
      </c>
      <c r="E26" s="2">
        <v>9.15</v>
      </c>
      <c r="F26" s="2">
        <v>1.777</v>
      </c>
      <c r="G26" s="2">
        <v>2.0</v>
      </c>
      <c r="H26" s="2">
        <v>8.0</v>
      </c>
      <c r="I26" s="2">
        <v>4.0</v>
      </c>
      <c r="J26" s="2">
        <v>48.0</v>
      </c>
      <c r="K26" s="2">
        <v>1.0</v>
      </c>
      <c r="L26" s="2">
        <v>1.0</v>
      </c>
      <c r="M26" s="2">
        <v>1.0</v>
      </c>
      <c r="N26" s="4">
        <v>38.9</v>
      </c>
    </row>
    <row r="27">
      <c r="A27" s="2">
        <v>26.0</v>
      </c>
      <c r="B27" s="2">
        <v>1.0</v>
      </c>
      <c r="C27" s="2">
        <v>8.14</v>
      </c>
      <c r="D27" s="2">
        <v>1.0</v>
      </c>
      <c r="E27" s="2">
        <v>8.0</v>
      </c>
      <c r="F27" s="2">
        <v>1.504</v>
      </c>
      <c r="G27" s="2">
        <v>2.0</v>
      </c>
      <c r="H27" s="2">
        <v>7.0</v>
      </c>
      <c r="I27" s="2">
        <v>3.0</v>
      </c>
      <c r="J27" s="2">
        <v>3.0</v>
      </c>
      <c r="K27" s="2">
        <v>1.0</v>
      </c>
      <c r="L27" s="2">
        <v>3.0</v>
      </c>
      <c r="M27" s="2">
        <v>0.0</v>
      </c>
      <c r="N27" s="4">
        <v>36.9</v>
      </c>
    </row>
    <row r="28">
      <c r="A28" s="2">
        <v>27.0</v>
      </c>
      <c r="B28" s="2">
        <v>1.0</v>
      </c>
      <c r="C28" s="2">
        <v>9.1416</v>
      </c>
      <c r="D28" s="2">
        <v>1.5</v>
      </c>
      <c r="E28" s="2">
        <v>7.3262</v>
      </c>
      <c r="F28" s="2">
        <v>1.831</v>
      </c>
      <c r="G28" s="2">
        <v>1.5</v>
      </c>
      <c r="H28" s="2">
        <v>8.0</v>
      </c>
      <c r="I28" s="2">
        <v>4.0</v>
      </c>
      <c r="J28" s="2">
        <v>31.0</v>
      </c>
      <c r="K28" s="2">
        <v>4.0</v>
      </c>
      <c r="L28" s="2">
        <v>1.0</v>
      </c>
      <c r="M28" s="2">
        <v>0.0</v>
      </c>
      <c r="N28" s="4">
        <v>45.8</v>
      </c>
    </row>
    <row r="29">
      <c r="A29" s="2">
        <v>28.0</v>
      </c>
      <c r="B29" s="2">
        <v>1.0</v>
      </c>
      <c r="C29" s="2">
        <v>12.0</v>
      </c>
      <c r="D29" s="2">
        <v>1.5</v>
      </c>
      <c r="E29" s="2">
        <v>5.0</v>
      </c>
      <c r="F29" s="2">
        <v>1.2</v>
      </c>
      <c r="G29" s="2">
        <v>2.0</v>
      </c>
      <c r="H29" s="2">
        <v>6.0</v>
      </c>
      <c r="I29" s="2">
        <v>3.0</v>
      </c>
      <c r="J29" s="2">
        <v>30.0</v>
      </c>
      <c r="K29" s="2">
        <v>3.0</v>
      </c>
      <c r="L29" s="2">
        <v>1.0</v>
      </c>
      <c r="M29" s="2">
        <v>1.0</v>
      </c>
      <c r="N29" s="4">
        <v>41.0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25"/>
    <col customWidth="1" min="3" max="3" width="8.75"/>
    <col customWidth="1" min="4" max="8" width="8.25"/>
    <col customWidth="1" min="9" max="14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2">
        <v>1.0</v>
      </c>
      <c r="B2" s="2">
        <v>1.0</v>
      </c>
      <c r="C2" s="2">
        <v>4.9176</v>
      </c>
      <c r="D2" s="2">
        <v>1.0</v>
      </c>
      <c r="E2" s="2">
        <v>3.472</v>
      </c>
      <c r="F2" s="2">
        <v>0.998</v>
      </c>
      <c r="G2" s="2">
        <v>1.0</v>
      </c>
      <c r="H2" s="2">
        <v>7.0</v>
      </c>
      <c r="I2" s="2">
        <v>4.0</v>
      </c>
      <c r="J2" s="2">
        <v>42.0</v>
      </c>
      <c r="K2" s="2">
        <v>3.0</v>
      </c>
      <c r="L2" s="2">
        <v>1.0</v>
      </c>
      <c r="M2" s="2">
        <v>0.0</v>
      </c>
      <c r="N2" s="4">
        <v>25.9</v>
      </c>
      <c r="O2" s="5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2">
        <v>2.0</v>
      </c>
      <c r="B3" s="2">
        <v>1.0</v>
      </c>
      <c r="C3" s="2">
        <v>5.0208</v>
      </c>
      <c r="D3" s="2">
        <v>1.0</v>
      </c>
      <c r="E3" s="2">
        <v>3.531</v>
      </c>
      <c r="F3" s="2">
        <v>1.5</v>
      </c>
      <c r="G3" s="2">
        <v>2.0</v>
      </c>
      <c r="H3" s="2">
        <v>7.0</v>
      </c>
      <c r="I3" s="2">
        <v>4.0</v>
      </c>
      <c r="J3" s="2">
        <v>62.0</v>
      </c>
      <c r="K3" s="2">
        <v>1.0</v>
      </c>
      <c r="L3" s="2">
        <v>1.0</v>
      </c>
      <c r="M3" s="2">
        <v>0.0</v>
      </c>
      <c r="N3" s="4">
        <v>29.5</v>
      </c>
      <c r="O3" s="5" t="s"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2">
        <v>3.0</v>
      </c>
      <c r="B4" s="2">
        <v>1.0</v>
      </c>
      <c r="C4" s="2">
        <v>4.5429</v>
      </c>
      <c r="D4" s="2">
        <v>1.0</v>
      </c>
      <c r="E4" s="2">
        <v>2.275</v>
      </c>
      <c r="F4" s="2">
        <v>1.175</v>
      </c>
      <c r="G4" s="2">
        <v>1.0</v>
      </c>
      <c r="H4" s="2">
        <v>6.0</v>
      </c>
      <c r="I4" s="2">
        <v>3.0</v>
      </c>
      <c r="J4" s="2">
        <v>40.0</v>
      </c>
      <c r="K4" s="2">
        <v>2.0</v>
      </c>
      <c r="L4" s="2">
        <v>1.0</v>
      </c>
      <c r="M4" s="2">
        <v>0.0</v>
      </c>
      <c r="N4" s="4">
        <v>27.9</v>
      </c>
      <c r="O4" s="5" t="s">
        <v>18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>
        <v>4.0</v>
      </c>
      <c r="B5" s="2">
        <v>1.0</v>
      </c>
      <c r="C5" s="2">
        <v>4.5573</v>
      </c>
      <c r="D5" s="2">
        <v>1.0</v>
      </c>
      <c r="E5" s="2">
        <v>4.05</v>
      </c>
      <c r="F5" s="2">
        <v>1.232</v>
      </c>
      <c r="G5" s="2">
        <v>1.0</v>
      </c>
      <c r="H5" s="2">
        <v>6.0</v>
      </c>
      <c r="I5" s="2">
        <v>3.0</v>
      </c>
      <c r="J5" s="2">
        <v>54.0</v>
      </c>
      <c r="K5" s="2">
        <v>4.0</v>
      </c>
      <c r="L5" s="2">
        <v>1.0</v>
      </c>
      <c r="M5" s="2">
        <v>0.0</v>
      </c>
      <c r="N5" s="4">
        <v>25.9</v>
      </c>
      <c r="O5" s="5" t="s">
        <v>19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2">
        <v>5.0</v>
      </c>
      <c r="B6" s="2">
        <v>1.0</v>
      </c>
      <c r="C6" s="2">
        <v>5.0597</v>
      </c>
      <c r="D6" s="2">
        <v>1.0</v>
      </c>
      <c r="E6" s="2">
        <v>4.455</v>
      </c>
      <c r="F6" s="2">
        <v>1.121</v>
      </c>
      <c r="G6" s="2">
        <v>1.0</v>
      </c>
      <c r="H6" s="2">
        <v>6.0</v>
      </c>
      <c r="I6" s="2">
        <v>3.0</v>
      </c>
      <c r="J6" s="2">
        <v>42.0</v>
      </c>
      <c r="K6" s="2">
        <v>3.0</v>
      </c>
      <c r="L6" s="2">
        <v>1.0</v>
      </c>
      <c r="M6" s="2">
        <v>0.0</v>
      </c>
      <c r="N6" s="4">
        <v>29.9</v>
      </c>
      <c r="O6" s="5" t="s">
        <v>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2">
        <v>6.0</v>
      </c>
      <c r="B7" s="2">
        <v>1.0</v>
      </c>
      <c r="C7" s="2">
        <v>3.891</v>
      </c>
      <c r="D7" s="2">
        <v>1.0</v>
      </c>
      <c r="E7" s="2">
        <v>4.455</v>
      </c>
      <c r="F7" s="2">
        <v>0.988</v>
      </c>
      <c r="G7" s="2">
        <v>1.0</v>
      </c>
      <c r="H7" s="2">
        <v>6.0</v>
      </c>
      <c r="I7" s="2">
        <v>3.0</v>
      </c>
      <c r="J7" s="2">
        <v>56.0</v>
      </c>
      <c r="K7" s="2">
        <v>2.0</v>
      </c>
      <c r="L7" s="2">
        <v>1.0</v>
      </c>
      <c r="M7" s="2">
        <v>0.0</v>
      </c>
      <c r="N7" s="4">
        <v>29.9</v>
      </c>
      <c r="O7" s="5" t="s">
        <v>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2">
        <v>7.0</v>
      </c>
      <c r="B8" s="2">
        <v>1.0</v>
      </c>
      <c r="C8" s="2">
        <v>5.898</v>
      </c>
      <c r="D8" s="2">
        <v>1.0</v>
      </c>
      <c r="E8" s="2">
        <v>5.85</v>
      </c>
      <c r="F8" s="2">
        <v>1.24</v>
      </c>
      <c r="G8" s="2">
        <v>1.0</v>
      </c>
      <c r="H8" s="2">
        <v>7.0</v>
      </c>
      <c r="I8" s="2">
        <v>3.0</v>
      </c>
      <c r="J8" s="2">
        <v>51.0</v>
      </c>
      <c r="K8" s="2">
        <v>2.0</v>
      </c>
      <c r="L8" s="2">
        <v>1.0</v>
      </c>
      <c r="M8" s="2">
        <v>1.0</v>
      </c>
      <c r="N8" s="4">
        <v>30.9</v>
      </c>
      <c r="O8" s="5" t="s">
        <v>24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2">
        <v>8.0</v>
      </c>
      <c r="B9" s="2">
        <v>1.0</v>
      </c>
      <c r="C9" s="2">
        <v>5.6039</v>
      </c>
      <c r="D9" s="2">
        <v>1.0</v>
      </c>
      <c r="E9" s="2">
        <v>9.52</v>
      </c>
      <c r="F9" s="2">
        <v>1.501</v>
      </c>
      <c r="G9" s="2">
        <v>0.0</v>
      </c>
      <c r="H9" s="2">
        <v>6.0</v>
      </c>
      <c r="I9" s="2">
        <v>3.0</v>
      </c>
      <c r="J9" s="2">
        <v>32.0</v>
      </c>
      <c r="K9" s="2">
        <v>1.0</v>
      </c>
      <c r="L9" s="2">
        <v>1.0</v>
      </c>
      <c r="M9" s="2">
        <v>0.0</v>
      </c>
      <c r="N9" s="4">
        <v>28.9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2">
        <v>9.0</v>
      </c>
      <c r="B10" s="2">
        <v>1.0</v>
      </c>
      <c r="C10" s="2">
        <v>16.4202</v>
      </c>
      <c r="D10" s="2">
        <v>2.5</v>
      </c>
      <c r="E10" s="2">
        <v>9.8</v>
      </c>
      <c r="F10" s="2">
        <v>3.42</v>
      </c>
      <c r="G10" s="2">
        <v>2.0</v>
      </c>
      <c r="H10" s="2">
        <v>10.0</v>
      </c>
      <c r="I10" s="2">
        <v>5.0</v>
      </c>
      <c r="J10" s="2">
        <v>42.0</v>
      </c>
      <c r="K10" s="2">
        <v>2.0</v>
      </c>
      <c r="L10" s="2">
        <v>1.0</v>
      </c>
      <c r="M10" s="2">
        <v>1.0</v>
      </c>
      <c r="N10" s="4">
        <v>84.9</v>
      </c>
      <c r="O10" s="5" t="s">
        <v>26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2">
        <v>10.0</v>
      </c>
      <c r="B11" s="2">
        <v>1.0</v>
      </c>
      <c r="C11" s="2">
        <v>14.4598</v>
      </c>
      <c r="D11" s="2">
        <v>2.5</v>
      </c>
      <c r="E11" s="2">
        <v>12.8</v>
      </c>
      <c r="F11" s="2">
        <v>3.0</v>
      </c>
      <c r="G11" s="2">
        <v>2.0</v>
      </c>
      <c r="H11" s="2">
        <v>9.0</v>
      </c>
      <c r="I11" s="2">
        <v>5.0</v>
      </c>
      <c r="J11" s="2">
        <v>14.0</v>
      </c>
      <c r="K11" s="2">
        <v>4.0</v>
      </c>
      <c r="L11" s="2">
        <v>1.0</v>
      </c>
      <c r="M11" s="2">
        <v>1.0</v>
      </c>
      <c r="N11" s="4">
        <v>82.9</v>
      </c>
      <c r="O11" s="5" t="s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2">
        <v>11.0</v>
      </c>
      <c r="B12" s="2">
        <v>1.0</v>
      </c>
      <c r="C12" s="2">
        <v>5.8282</v>
      </c>
      <c r="D12" s="2">
        <v>1.0</v>
      </c>
      <c r="E12" s="2">
        <v>6.435</v>
      </c>
      <c r="F12" s="2">
        <v>1.225</v>
      </c>
      <c r="G12" s="2">
        <v>2.0</v>
      </c>
      <c r="H12" s="2">
        <v>6.0</v>
      </c>
      <c r="I12" s="2">
        <v>3.0</v>
      </c>
      <c r="J12" s="2">
        <v>32.0</v>
      </c>
      <c r="K12" s="2">
        <v>1.0</v>
      </c>
      <c r="L12" s="2">
        <v>1.0</v>
      </c>
      <c r="M12" s="2">
        <v>0.0</v>
      </c>
      <c r="N12" s="4">
        <v>35.9</v>
      </c>
      <c r="O12" s="3" t="s">
        <v>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2">
        <v>12.0</v>
      </c>
      <c r="B13" s="2">
        <v>1.0</v>
      </c>
      <c r="C13" s="2">
        <v>5.3003</v>
      </c>
      <c r="D13" s="2">
        <v>1.0</v>
      </c>
      <c r="E13" s="2">
        <v>4.9883</v>
      </c>
      <c r="F13" s="2">
        <v>1.552</v>
      </c>
      <c r="G13" s="2">
        <v>1.0</v>
      </c>
      <c r="H13" s="2">
        <v>6.0</v>
      </c>
      <c r="I13" s="2">
        <v>3.0</v>
      </c>
      <c r="J13" s="2">
        <v>30.0</v>
      </c>
      <c r="K13" s="2">
        <v>1.0</v>
      </c>
      <c r="L13" s="2">
        <v>2.0</v>
      </c>
      <c r="M13" s="2">
        <v>0.0</v>
      </c>
      <c r="N13" s="4">
        <v>31.5</v>
      </c>
      <c r="O13" s="5" t="s">
        <v>30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2">
        <v>13.0</v>
      </c>
      <c r="B14" s="2">
        <v>1.0</v>
      </c>
      <c r="C14" s="2">
        <v>6.2712</v>
      </c>
      <c r="D14" s="2">
        <v>1.0</v>
      </c>
      <c r="E14" s="2">
        <v>5.52</v>
      </c>
      <c r="F14" s="2">
        <v>0.975</v>
      </c>
      <c r="G14" s="2">
        <v>1.0</v>
      </c>
      <c r="H14" s="2">
        <v>5.0</v>
      </c>
      <c r="I14" s="2">
        <v>2.0</v>
      </c>
      <c r="J14" s="2">
        <v>30.0</v>
      </c>
      <c r="K14" s="2">
        <v>1.0</v>
      </c>
      <c r="L14" s="2">
        <v>2.0</v>
      </c>
      <c r="M14" s="2">
        <v>0.0</v>
      </c>
      <c r="N14" s="4">
        <v>31.0</v>
      </c>
      <c r="O14" s="5" t="s">
        <v>32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>
      <c r="A15" s="2">
        <v>14.0</v>
      </c>
      <c r="B15" s="2">
        <v>1.0</v>
      </c>
      <c r="C15" s="2">
        <v>5.9592</v>
      </c>
      <c r="D15" s="2">
        <v>1.0</v>
      </c>
      <c r="E15" s="2">
        <v>6.666</v>
      </c>
      <c r="F15" s="2">
        <v>1.121</v>
      </c>
      <c r="G15" s="2">
        <v>2.0</v>
      </c>
      <c r="H15" s="2">
        <v>6.0</v>
      </c>
      <c r="I15" s="2">
        <v>3.0</v>
      </c>
      <c r="J15" s="2">
        <v>32.0</v>
      </c>
      <c r="K15" s="2">
        <v>2.0</v>
      </c>
      <c r="L15" s="2">
        <v>1.0</v>
      </c>
      <c r="M15" s="2">
        <v>0.0</v>
      </c>
      <c r="N15" s="4">
        <v>30.9</v>
      </c>
      <c r="O15" s="5" t="s">
        <v>34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>
      <c r="A16" s="2">
        <v>15.0</v>
      </c>
      <c r="B16" s="2">
        <v>1.0</v>
      </c>
      <c r="C16" s="2">
        <v>5.05</v>
      </c>
      <c r="D16" s="2">
        <v>1.0</v>
      </c>
      <c r="E16" s="2">
        <v>5.0</v>
      </c>
      <c r="F16" s="2">
        <v>1.02</v>
      </c>
      <c r="G16" s="2">
        <v>0.0</v>
      </c>
      <c r="H16" s="2">
        <v>5.0</v>
      </c>
      <c r="I16" s="2">
        <v>2.0</v>
      </c>
      <c r="J16" s="2">
        <v>46.0</v>
      </c>
      <c r="K16" s="2">
        <v>4.0</v>
      </c>
      <c r="L16" s="2">
        <v>1.0</v>
      </c>
      <c r="M16" s="2">
        <v>1.0</v>
      </c>
      <c r="N16" s="4">
        <v>30.0</v>
      </c>
      <c r="O16" s="5" t="s">
        <v>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2">
        <v>16.0</v>
      </c>
      <c r="B17" s="2">
        <v>1.0</v>
      </c>
      <c r="C17" s="2">
        <v>5.6039</v>
      </c>
      <c r="D17" s="2">
        <v>1.0</v>
      </c>
      <c r="E17" s="2">
        <v>9.52</v>
      </c>
      <c r="F17" s="2">
        <v>1.501</v>
      </c>
      <c r="G17" s="2">
        <v>0.0</v>
      </c>
      <c r="H17" s="2">
        <v>6.0</v>
      </c>
      <c r="I17" s="2">
        <v>3.0</v>
      </c>
      <c r="J17" s="2">
        <v>32.0</v>
      </c>
      <c r="K17" s="2">
        <v>1.0</v>
      </c>
      <c r="L17" s="2">
        <v>1.0</v>
      </c>
      <c r="M17" s="2">
        <v>0.0</v>
      </c>
      <c r="N17" s="4">
        <v>28.9</v>
      </c>
      <c r="O17" s="5" t="s">
        <v>37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2">
        <v>17.0</v>
      </c>
      <c r="B18" s="2">
        <v>1.0</v>
      </c>
      <c r="C18" s="2">
        <v>8.2464</v>
      </c>
      <c r="D18" s="2">
        <v>1.5</v>
      </c>
      <c r="E18" s="2">
        <v>5.15</v>
      </c>
      <c r="F18" s="2">
        <v>1.664</v>
      </c>
      <c r="G18" s="2">
        <v>2.0</v>
      </c>
      <c r="H18" s="2">
        <v>8.0</v>
      </c>
      <c r="I18" s="2">
        <v>4.0</v>
      </c>
      <c r="J18" s="2">
        <v>50.0</v>
      </c>
      <c r="K18" s="2">
        <v>4.0</v>
      </c>
      <c r="L18" s="2">
        <v>1.0</v>
      </c>
      <c r="M18" s="2">
        <v>0.0</v>
      </c>
      <c r="N18" s="4">
        <v>36.9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2">
        <v>18.0</v>
      </c>
      <c r="B19" s="2">
        <v>1.0</v>
      </c>
      <c r="C19" s="2">
        <v>6.6969</v>
      </c>
      <c r="D19" s="2">
        <v>1.5</v>
      </c>
      <c r="E19" s="2">
        <v>6.902</v>
      </c>
      <c r="F19" s="2">
        <v>1.488</v>
      </c>
      <c r="G19" s="2">
        <v>1.5</v>
      </c>
      <c r="H19" s="2">
        <v>7.0</v>
      </c>
      <c r="I19" s="2">
        <v>3.0</v>
      </c>
      <c r="J19" s="2">
        <v>22.0</v>
      </c>
      <c r="K19" s="2">
        <v>1.0</v>
      </c>
      <c r="L19" s="2">
        <v>1.0</v>
      </c>
      <c r="M19" s="2">
        <v>1.0</v>
      </c>
      <c r="N19" s="4">
        <v>41.9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2">
        <v>19.0</v>
      </c>
      <c r="B20" s="2">
        <v>1.0</v>
      </c>
      <c r="C20" s="2">
        <v>7.7841</v>
      </c>
      <c r="D20" s="2">
        <v>1.5</v>
      </c>
      <c r="E20" s="2">
        <v>7.102</v>
      </c>
      <c r="F20" s="2">
        <v>1.376</v>
      </c>
      <c r="G20" s="2">
        <v>1.0</v>
      </c>
      <c r="H20" s="2">
        <v>6.0</v>
      </c>
      <c r="I20" s="2">
        <v>3.0</v>
      </c>
      <c r="J20" s="2">
        <v>17.0</v>
      </c>
      <c r="K20" s="2">
        <v>2.0</v>
      </c>
      <c r="L20" s="2">
        <v>1.0</v>
      </c>
      <c r="M20" s="2">
        <v>0.0</v>
      </c>
      <c r="N20" s="4">
        <v>40.5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>
      <c r="A21" s="2">
        <v>20.0</v>
      </c>
      <c r="B21" s="2">
        <v>1.0</v>
      </c>
      <c r="C21" s="2">
        <v>9.0384</v>
      </c>
      <c r="D21" s="2">
        <v>1.0</v>
      </c>
      <c r="E21" s="2">
        <v>7.8</v>
      </c>
      <c r="F21" s="2">
        <v>1.5</v>
      </c>
      <c r="G21" s="2">
        <v>1.5</v>
      </c>
      <c r="H21" s="2">
        <v>7.0</v>
      </c>
      <c r="I21" s="2">
        <v>3.0</v>
      </c>
      <c r="J21" s="2">
        <v>23.0</v>
      </c>
      <c r="K21" s="2">
        <v>3.0</v>
      </c>
      <c r="L21" s="2">
        <v>3.0</v>
      </c>
      <c r="M21" s="2">
        <v>0.0</v>
      </c>
      <c r="N21" s="4">
        <v>43.9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>
      <c r="A22" s="2">
        <v>21.0</v>
      </c>
      <c r="B22" s="2">
        <v>1.0</v>
      </c>
      <c r="C22" s="2">
        <v>5.9894</v>
      </c>
      <c r="D22" s="2">
        <v>1.0</v>
      </c>
      <c r="E22" s="2">
        <v>5.52</v>
      </c>
      <c r="F22" s="2">
        <v>1.256</v>
      </c>
      <c r="G22" s="2">
        <v>2.0</v>
      </c>
      <c r="H22" s="2">
        <v>6.0</v>
      </c>
      <c r="I22" s="2">
        <v>3.0</v>
      </c>
      <c r="J22" s="2">
        <v>40.0</v>
      </c>
      <c r="K22" s="2">
        <v>4.0</v>
      </c>
      <c r="L22" s="2">
        <v>1.0</v>
      </c>
      <c r="M22" s="2">
        <v>1.0</v>
      </c>
      <c r="N22" s="4">
        <v>37.5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>
      <c r="A23" s="2">
        <v>22.0</v>
      </c>
      <c r="B23" s="2">
        <v>1.0</v>
      </c>
      <c r="C23" s="2">
        <v>7.5422</v>
      </c>
      <c r="D23" s="2">
        <v>1.5</v>
      </c>
      <c r="E23" s="2">
        <v>4.0</v>
      </c>
      <c r="F23" s="2">
        <v>1.69</v>
      </c>
      <c r="G23" s="2">
        <v>1.0</v>
      </c>
      <c r="H23" s="2">
        <v>6.0</v>
      </c>
      <c r="I23" s="2">
        <v>3.0</v>
      </c>
      <c r="J23" s="2">
        <v>22.0</v>
      </c>
      <c r="K23" s="2">
        <v>1.0</v>
      </c>
      <c r="L23" s="2">
        <v>1.0</v>
      </c>
      <c r="M23" s="2">
        <v>0.0</v>
      </c>
      <c r="N23" s="4">
        <v>37.9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>
      <c r="A24" s="2">
        <v>23.0</v>
      </c>
      <c r="B24" s="2">
        <v>1.0</v>
      </c>
      <c r="C24" s="2">
        <v>8.7951</v>
      </c>
      <c r="D24" s="2">
        <v>1.5</v>
      </c>
      <c r="E24" s="2">
        <v>9.89</v>
      </c>
      <c r="F24" s="2">
        <v>1.82</v>
      </c>
      <c r="G24" s="2">
        <v>2.0</v>
      </c>
      <c r="H24" s="2">
        <v>8.0</v>
      </c>
      <c r="I24" s="2">
        <v>4.0</v>
      </c>
      <c r="J24" s="2">
        <v>50.0</v>
      </c>
      <c r="K24" s="2">
        <v>1.0</v>
      </c>
      <c r="L24" s="2">
        <v>1.0</v>
      </c>
      <c r="M24" s="2">
        <v>1.0</v>
      </c>
      <c r="N24" s="4">
        <v>44.5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2">
        <v>24.0</v>
      </c>
      <c r="B25" s="2">
        <v>1.0</v>
      </c>
      <c r="C25" s="2">
        <v>6.0931</v>
      </c>
      <c r="D25" s="2">
        <v>1.5</v>
      </c>
      <c r="E25" s="2">
        <v>6.7265</v>
      </c>
      <c r="F25" s="2">
        <v>1.652</v>
      </c>
      <c r="G25" s="2">
        <v>1.0</v>
      </c>
      <c r="H25" s="2">
        <v>6.0</v>
      </c>
      <c r="I25" s="2">
        <v>3.0</v>
      </c>
      <c r="J25" s="2">
        <v>44.0</v>
      </c>
      <c r="K25" s="2">
        <v>4.0</v>
      </c>
      <c r="L25" s="2">
        <v>1.0</v>
      </c>
      <c r="M25" s="2">
        <v>0.0</v>
      </c>
      <c r="N25" s="4">
        <v>37.9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2">
        <v>25.0</v>
      </c>
      <c r="B26" s="2">
        <v>1.0</v>
      </c>
      <c r="C26" s="2">
        <v>8.3607</v>
      </c>
      <c r="D26" s="2">
        <v>1.5</v>
      </c>
      <c r="E26" s="2">
        <v>9.15</v>
      </c>
      <c r="F26" s="2">
        <v>1.777</v>
      </c>
      <c r="G26" s="2">
        <v>2.0</v>
      </c>
      <c r="H26" s="2">
        <v>8.0</v>
      </c>
      <c r="I26" s="2">
        <v>4.0</v>
      </c>
      <c r="J26" s="2">
        <v>48.0</v>
      </c>
      <c r="K26" s="2">
        <v>1.0</v>
      </c>
      <c r="L26" s="2">
        <v>1.0</v>
      </c>
      <c r="M26" s="2">
        <v>1.0</v>
      </c>
      <c r="N26" s="4">
        <v>38.9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s="2">
        <v>26.0</v>
      </c>
      <c r="B27" s="2">
        <v>1.0</v>
      </c>
      <c r="C27" s="2">
        <v>8.14</v>
      </c>
      <c r="D27" s="2">
        <v>1.0</v>
      </c>
      <c r="E27" s="2">
        <v>8.0</v>
      </c>
      <c r="F27" s="2">
        <v>1.504</v>
      </c>
      <c r="G27" s="2">
        <v>2.0</v>
      </c>
      <c r="H27" s="2">
        <v>7.0</v>
      </c>
      <c r="I27" s="2">
        <v>3.0</v>
      </c>
      <c r="J27" s="2">
        <v>3.0</v>
      </c>
      <c r="K27" s="2">
        <v>1.0</v>
      </c>
      <c r="L27" s="2">
        <v>3.0</v>
      </c>
      <c r="M27" s="2">
        <v>0.0</v>
      </c>
      <c r="N27" s="4">
        <v>36.9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2">
        <v>27.0</v>
      </c>
      <c r="B28" s="2">
        <v>1.0</v>
      </c>
      <c r="C28" s="2">
        <v>9.1416</v>
      </c>
      <c r="D28" s="2">
        <v>1.5</v>
      </c>
      <c r="E28" s="2">
        <v>7.3262</v>
      </c>
      <c r="F28" s="2">
        <v>1.831</v>
      </c>
      <c r="G28" s="2">
        <v>1.5</v>
      </c>
      <c r="H28" s="2">
        <v>8.0</v>
      </c>
      <c r="I28" s="2">
        <v>4.0</v>
      </c>
      <c r="J28" s="2">
        <v>31.0</v>
      </c>
      <c r="K28" s="2">
        <v>4.0</v>
      </c>
      <c r="L28" s="2">
        <v>1.0</v>
      </c>
      <c r="M28" s="2">
        <v>0.0</v>
      </c>
      <c r="N28" s="4">
        <v>45.8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>
      <c r="A29" s="2">
        <v>28.0</v>
      </c>
      <c r="B29" s="2">
        <v>1.0</v>
      </c>
      <c r="C29" s="2">
        <v>12.0</v>
      </c>
      <c r="D29" s="2">
        <v>1.5</v>
      </c>
      <c r="E29" s="2">
        <v>5.0</v>
      </c>
      <c r="F29" s="2">
        <v>1.2</v>
      </c>
      <c r="G29" s="2">
        <v>2.0</v>
      </c>
      <c r="H29" s="2">
        <v>6.0</v>
      </c>
      <c r="I29" s="2">
        <v>3.0</v>
      </c>
      <c r="J29" s="2">
        <v>30.0</v>
      </c>
      <c r="K29" s="2">
        <v>3.0</v>
      </c>
      <c r="L29" s="2">
        <v>1.0</v>
      </c>
      <c r="M29" s="2">
        <v>1.0</v>
      </c>
      <c r="N29" s="4">
        <v>41.0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3" t="s">
        <v>14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2">
        <v>1.0</v>
      </c>
      <c r="B2" s="2">
        <v>1.0</v>
      </c>
      <c r="C2" s="2">
        <v>4.9176</v>
      </c>
      <c r="D2" s="2">
        <v>1.0</v>
      </c>
      <c r="E2" s="2">
        <v>3.472</v>
      </c>
      <c r="F2" s="2">
        <v>0.998</v>
      </c>
      <c r="G2" s="2">
        <v>1.0</v>
      </c>
      <c r="H2" s="2">
        <v>7.0</v>
      </c>
      <c r="I2" s="2">
        <v>4.0</v>
      </c>
      <c r="J2" s="2">
        <v>42.0</v>
      </c>
      <c r="K2" s="2">
        <v>3.0</v>
      </c>
      <c r="L2" s="2">
        <v>1.0</v>
      </c>
      <c r="M2" s="2">
        <v>0.0</v>
      </c>
      <c r="N2" s="4">
        <v>25.9</v>
      </c>
      <c r="O2" s="5">
        <f>CORREL(J:J,N:N)</f>
        <v>-0.2992973333</v>
      </c>
      <c r="P2" s="6" t="s">
        <v>17</v>
      </c>
      <c r="Q2" s="5" t="s">
        <v>15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2">
        <v>2.0</v>
      </c>
      <c r="B3" s="2">
        <v>1.0</v>
      </c>
      <c r="C3" s="2">
        <v>5.0208</v>
      </c>
      <c r="D3" s="2">
        <v>1.0</v>
      </c>
      <c r="E3" s="2">
        <v>3.531</v>
      </c>
      <c r="F3" s="2">
        <v>1.5</v>
      </c>
      <c r="G3" s="2">
        <v>2.0</v>
      </c>
      <c r="H3" s="2">
        <v>7.0</v>
      </c>
      <c r="I3" s="2">
        <v>4.0</v>
      </c>
      <c r="J3" s="2">
        <v>62.0</v>
      </c>
      <c r="K3" s="2">
        <v>1.0</v>
      </c>
      <c r="L3" s="2">
        <v>1.0</v>
      </c>
      <c r="M3" s="2">
        <v>0.0</v>
      </c>
      <c r="N3" s="4">
        <v>29.5</v>
      </c>
      <c r="O3" s="5">
        <f>CORREL(L:L,N:N)</f>
        <v>-0.02230177481</v>
      </c>
      <c r="P3" s="6" t="s">
        <v>20</v>
      </c>
      <c r="Q3" s="7" t="s">
        <v>16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2">
        <v>3.0</v>
      </c>
      <c r="B4" s="2">
        <v>1.0</v>
      </c>
      <c r="C4" s="2">
        <v>4.5429</v>
      </c>
      <c r="D4" s="2">
        <v>1.0</v>
      </c>
      <c r="E4" s="2">
        <v>2.275</v>
      </c>
      <c r="F4" s="2">
        <v>1.175</v>
      </c>
      <c r="G4" s="2">
        <v>1.0</v>
      </c>
      <c r="H4" s="2">
        <v>6.0</v>
      </c>
      <c r="I4" s="2">
        <v>3.0</v>
      </c>
      <c r="J4" s="2">
        <v>40.0</v>
      </c>
      <c r="K4" s="2">
        <v>2.0</v>
      </c>
      <c r="L4" s="2">
        <v>1.0</v>
      </c>
      <c r="M4" s="2">
        <v>0.0</v>
      </c>
      <c r="N4" s="4">
        <v>27.9</v>
      </c>
      <c r="O4" s="8">
        <f>CORREL(K:K,N:N)</f>
        <v>0.1727157123</v>
      </c>
      <c r="P4" s="6" t="s">
        <v>23</v>
      </c>
      <c r="Q4" s="5" t="s">
        <v>18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>
        <v>4.0</v>
      </c>
      <c r="B5" s="2">
        <v>1.0</v>
      </c>
      <c r="C5" s="2">
        <v>4.5573</v>
      </c>
      <c r="D5" s="2">
        <v>1.0</v>
      </c>
      <c r="E5" s="2">
        <v>4.05</v>
      </c>
      <c r="F5" s="2">
        <v>1.232</v>
      </c>
      <c r="G5" s="2">
        <v>1.0</v>
      </c>
      <c r="H5" s="2">
        <v>6.0</v>
      </c>
      <c r="I5" s="2">
        <v>3.0</v>
      </c>
      <c r="J5" s="2">
        <v>54.0</v>
      </c>
      <c r="K5" s="2">
        <v>4.0</v>
      </c>
      <c r="L5" s="2">
        <v>1.0</v>
      </c>
      <c r="M5" s="2">
        <v>0.0</v>
      </c>
      <c r="N5" s="4">
        <v>25.9</v>
      </c>
      <c r="O5" s="9">
        <f>CORREL(G:G,N:N)</f>
        <v>0.4616956332</v>
      </c>
      <c r="P5" s="6" t="s">
        <v>25</v>
      </c>
      <c r="Q5" s="5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2">
        <v>5.0</v>
      </c>
      <c r="B6" s="2">
        <v>1.0</v>
      </c>
      <c r="C6" s="2">
        <v>5.0597</v>
      </c>
      <c r="D6" s="2">
        <v>1.0</v>
      </c>
      <c r="E6" s="2">
        <v>4.455</v>
      </c>
      <c r="F6" s="2">
        <v>1.121</v>
      </c>
      <c r="G6" s="2">
        <v>1.0</v>
      </c>
      <c r="H6" s="2">
        <v>6.0</v>
      </c>
      <c r="I6" s="2">
        <v>3.0</v>
      </c>
      <c r="J6" s="2">
        <v>42.0</v>
      </c>
      <c r="K6" s="2">
        <v>3.0</v>
      </c>
      <c r="L6" s="2">
        <v>1.0</v>
      </c>
      <c r="M6" s="2">
        <v>0.0</v>
      </c>
      <c r="N6" s="4">
        <v>29.9</v>
      </c>
      <c r="O6" s="5">
        <f>CORREL(M:M,N:N)</f>
        <v>0.4900525943</v>
      </c>
      <c r="P6" s="6" t="s">
        <v>28</v>
      </c>
      <c r="Q6" s="5" t="s">
        <v>21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2">
        <v>6.0</v>
      </c>
      <c r="B7" s="2">
        <v>1.0</v>
      </c>
      <c r="C7" s="2">
        <v>3.891</v>
      </c>
      <c r="D7" s="2">
        <v>1.0</v>
      </c>
      <c r="E7" s="2">
        <v>4.455</v>
      </c>
      <c r="F7" s="2">
        <v>0.988</v>
      </c>
      <c r="G7" s="2">
        <v>1.0</v>
      </c>
      <c r="H7" s="2">
        <v>6.0</v>
      </c>
      <c r="I7" s="2">
        <v>3.0</v>
      </c>
      <c r="J7" s="2">
        <v>56.0</v>
      </c>
      <c r="K7" s="2">
        <v>2.0</v>
      </c>
      <c r="L7" s="2">
        <v>1.0</v>
      </c>
      <c r="M7" s="2">
        <v>0.0</v>
      </c>
      <c r="N7" s="4">
        <v>29.9</v>
      </c>
      <c r="O7" s="5">
        <f>CORREL(E:E,N:N)</f>
        <v>0.6665769683</v>
      </c>
      <c r="P7" s="6" t="s">
        <v>31</v>
      </c>
      <c r="Q7" s="5" t="s">
        <v>22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2">
        <v>7.0</v>
      </c>
      <c r="B8" s="2">
        <v>1.0</v>
      </c>
      <c r="C8" s="2">
        <v>5.898</v>
      </c>
      <c r="D8" s="2">
        <v>1.0</v>
      </c>
      <c r="E8" s="2">
        <v>5.85</v>
      </c>
      <c r="F8" s="2">
        <v>1.24</v>
      </c>
      <c r="G8" s="2">
        <v>1.0</v>
      </c>
      <c r="H8" s="2">
        <v>7.0</v>
      </c>
      <c r="I8" s="2">
        <v>3.0</v>
      </c>
      <c r="J8" s="2">
        <v>51.0</v>
      </c>
      <c r="K8" s="2">
        <v>2.0</v>
      </c>
      <c r="L8" s="2">
        <v>1.0</v>
      </c>
      <c r="M8" s="2">
        <v>1.0</v>
      </c>
      <c r="N8" s="4">
        <v>30.9</v>
      </c>
      <c r="O8" s="5">
        <f>CORREL(I:I,N:N)</f>
        <v>0.7005561968</v>
      </c>
      <c r="P8" s="6" t="s">
        <v>33</v>
      </c>
      <c r="Q8" s="5" t="s">
        <v>24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2">
        <v>8.0</v>
      </c>
      <c r="B9" s="2">
        <v>1.0</v>
      </c>
      <c r="C9" s="2">
        <v>5.6039</v>
      </c>
      <c r="D9" s="2">
        <v>1.0</v>
      </c>
      <c r="E9" s="2">
        <v>9.52</v>
      </c>
      <c r="F9" s="2">
        <v>1.501</v>
      </c>
      <c r="G9" s="2">
        <v>0.0</v>
      </c>
      <c r="H9" s="2">
        <v>6.0</v>
      </c>
      <c r="I9" s="2">
        <v>3.0</v>
      </c>
      <c r="J9" s="2">
        <v>32.0</v>
      </c>
      <c r="K9" s="2">
        <v>1.0</v>
      </c>
      <c r="L9" s="2">
        <v>1.0</v>
      </c>
      <c r="M9" s="2">
        <v>0.0</v>
      </c>
      <c r="N9" s="4">
        <v>28.9</v>
      </c>
      <c r="O9" s="5">
        <f>CORREL(H:H,N:N)</f>
        <v>0.77714473</v>
      </c>
      <c r="P9" s="6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2">
        <v>9.0</v>
      </c>
      <c r="B10" s="2">
        <v>1.0</v>
      </c>
      <c r="C10" s="2">
        <v>16.4202</v>
      </c>
      <c r="D10" s="2">
        <v>2.5</v>
      </c>
      <c r="E10" s="2">
        <v>9.8</v>
      </c>
      <c r="F10" s="2">
        <v>3.42</v>
      </c>
      <c r="G10" s="2">
        <v>2.0</v>
      </c>
      <c r="H10" s="2">
        <v>10.0</v>
      </c>
      <c r="I10" s="2">
        <v>5.0</v>
      </c>
      <c r="J10" s="2">
        <v>42.0</v>
      </c>
      <c r="K10" s="2">
        <v>2.0</v>
      </c>
      <c r="L10" s="2">
        <v>1.0</v>
      </c>
      <c r="M10" s="2">
        <v>1.0</v>
      </c>
      <c r="N10" s="4">
        <v>84.9</v>
      </c>
      <c r="O10" s="5">
        <f>CORREL(F:F,N:N)</f>
        <v>0.9216509137</v>
      </c>
      <c r="P10" s="6" t="s">
        <v>38</v>
      </c>
      <c r="Q10" s="5" t="s">
        <v>26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2">
        <v>10.0</v>
      </c>
      <c r="B11" s="2">
        <v>1.0</v>
      </c>
      <c r="C11" s="2">
        <v>14.4598</v>
      </c>
      <c r="D11" s="2">
        <v>2.5</v>
      </c>
      <c r="E11" s="2">
        <v>12.8</v>
      </c>
      <c r="F11" s="2">
        <v>3.0</v>
      </c>
      <c r="G11" s="2">
        <v>2.0</v>
      </c>
      <c r="H11" s="2">
        <v>9.0</v>
      </c>
      <c r="I11" s="2">
        <v>5.0</v>
      </c>
      <c r="J11" s="2">
        <v>14.0</v>
      </c>
      <c r="K11" s="2">
        <v>4.0</v>
      </c>
      <c r="L11" s="2">
        <v>1.0</v>
      </c>
      <c r="M11" s="2">
        <v>1.0</v>
      </c>
      <c r="N11" s="4">
        <v>82.9</v>
      </c>
      <c r="O11" s="3">
        <f>CORREL(C:C,N:N)</f>
        <v>0.9231467706</v>
      </c>
      <c r="P11" s="6" t="s">
        <v>39</v>
      </c>
      <c r="Q11" s="5" t="s">
        <v>27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2">
        <v>11.0</v>
      </c>
      <c r="B12" s="2">
        <v>1.0</v>
      </c>
      <c r="C12" s="2">
        <v>5.8282</v>
      </c>
      <c r="D12" s="2">
        <v>1.0</v>
      </c>
      <c r="E12" s="2">
        <v>6.435</v>
      </c>
      <c r="F12" s="2">
        <v>1.225</v>
      </c>
      <c r="G12" s="2">
        <v>2.0</v>
      </c>
      <c r="H12" s="2">
        <v>6.0</v>
      </c>
      <c r="I12" s="2">
        <v>3.0</v>
      </c>
      <c r="J12" s="2">
        <v>32.0</v>
      </c>
      <c r="K12" s="2">
        <v>1.0</v>
      </c>
      <c r="L12" s="2">
        <v>1.0</v>
      </c>
      <c r="M12" s="2">
        <v>0.0</v>
      </c>
      <c r="N12" s="4">
        <v>35.9</v>
      </c>
      <c r="O12" s="5">
        <f>CORREL(D:D,N:N)</f>
        <v>0.9250812628</v>
      </c>
      <c r="P12" s="11" t="s">
        <v>40</v>
      </c>
      <c r="Q12" s="3" t="s">
        <v>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2">
        <v>12.0</v>
      </c>
      <c r="B13" s="2">
        <v>1.0</v>
      </c>
      <c r="C13" s="2">
        <v>5.3003</v>
      </c>
      <c r="D13" s="2">
        <v>1.0</v>
      </c>
      <c r="E13" s="2">
        <v>4.9883</v>
      </c>
      <c r="F13" s="2">
        <v>1.552</v>
      </c>
      <c r="G13" s="2">
        <v>1.0</v>
      </c>
      <c r="H13" s="2">
        <v>6.0</v>
      </c>
      <c r="I13" s="2">
        <v>3.0</v>
      </c>
      <c r="J13" s="2">
        <v>30.0</v>
      </c>
      <c r="K13" s="2">
        <v>1.0</v>
      </c>
      <c r="L13" s="2">
        <v>2.0</v>
      </c>
      <c r="M13" s="2">
        <v>0.0</v>
      </c>
      <c r="N13" s="4">
        <v>31.5</v>
      </c>
      <c r="P13" s="6" t="s">
        <v>42</v>
      </c>
      <c r="Q13" s="5" t="s">
        <v>30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2">
        <v>13.0</v>
      </c>
      <c r="B14" s="2">
        <v>1.0</v>
      </c>
      <c r="C14" s="2">
        <v>6.2712</v>
      </c>
      <c r="D14" s="2">
        <v>1.0</v>
      </c>
      <c r="E14" s="2">
        <v>5.52</v>
      </c>
      <c r="F14" s="2">
        <v>0.975</v>
      </c>
      <c r="G14" s="2">
        <v>1.0</v>
      </c>
      <c r="H14" s="2">
        <v>5.0</v>
      </c>
      <c r="I14" s="2">
        <v>2.0</v>
      </c>
      <c r="J14" s="2">
        <v>30.0</v>
      </c>
      <c r="K14" s="2">
        <v>1.0</v>
      </c>
      <c r="L14" s="2">
        <v>2.0</v>
      </c>
      <c r="M14" s="2">
        <v>0.0</v>
      </c>
      <c r="N14" s="4">
        <v>31.0</v>
      </c>
      <c r="O14" s="5"/>
      <c r="P14" s="3"/>
      <c r="Q14" s="5" t="s">
        <v>32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>
      <c r="A15" s="2">
        <v>14.0</v>
      </c>
      <c r="B15" s="2">
        <v>1.0</v>
      </c>
      <c r="C15" s="2">
        <v>5.9592</v>
      </c>
      <c r="D15" s="2">
        <v>1.0</v>
      </c>
      <c r="E15" s="2">
        <v>6.666</v>
      </c>
      <c r="F15" s="2">
        <v>1.121</v>
      </c>
      <c r="G15" s="2">
        <v>2.0</v>
      </c>
      <c r="H15" s="2">
        <v>6.0</v>
      </c>
      <c r="I15" s="2">
        <v>3.0</v>
      </c>
      <c r="J15" s="2">
        <v>32.0</v>
      </c>
      <c r="K15" s="2">
        <v>2.0</v>
      </c>
      <c r="L15" s="2">
        <v>1.0</v>
      </c>
      <c r="M15" s="2">
        <v>0.0</v>
      </c>
      <c r="N15" s="4">
        <v>30.9</v>
      </c>
      <c r="O15" s="5"/>
      <c r="P15" s="3"/>
      <c r="Q15" s="5" t="s">
        <v>34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>
      <c r="A16" s="2">
        <v>15.0</v>
      </c>
      <c r="B16" s="2">
        <v>1.0</v>
      </c>
      <c r="C16" s="2">
        <v>5.05</v>
      </c>
      <c r="D16" s="2">
        <v>1.0</v>
      </c>
      <c r="E16" s="2">
        <v>5.0</v>
      </c>
      <c r="F16" s="2">
        <v>1.02</v>
      </c>
      <c r="G16" s="2">
        <v>0.0</v>
      </c>
      <c r="H16" s="2">
        <v>5.0</v>
      </c>
      <c r="I16" s="2">
        <v>2.0</v>
      </c>
      <c r="J16" s="2">
        <v>46.0</v>
      </c>
      <c r="K16" s="2">
        <v>4.0</v>
      </c>
      <c r="L16" s="2">
        <v>1.0</v>
      </c>
      <c r="M16" s="2">
        <v>1.0</v>
      </c>
      <c r="N16" s="4">
        <v>30.0</v>
      </c>
      <c r="O16" s="5"/>
      <c r="P16" s="3"/>
      <c r="Q16" s="5" t="s">
        <v>35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2">
        <v>16.0</v>
      </c>
      <c r="B17" s="2">
        <v>1.0</v>
      </c>
      <c r="C17" s="2">
        <v>5.6039</v>
      </c>
      <c r="D17" s="2">
        <v>1.0</v>
      </c>
      <c r="E17" s="2">
        <v>9.52</v>
      </c>
      <c r="F17" s="2">
        <v>1.501</v>
      </c>
      <c r="G17" s="2">
        <v>0.0</v>
      </c>
      <c r="H17" s="2">
        <v>6.0</v>
      </c>
      <c r="I17" s="2">
        <v>3.0</v>
      </c>
      <c r="J17" s="2">
        <v>32.0</v>
      </c>
      <c r="K17" s="2">
        <v>1.0</v>
      </c>
      <c r="L17" s="2">
        <v>1.0</v>
      </c>
      <c r="M17" s="2">
        <v>0.0</v>
      </c>
      <c r="N17" s="4">
        <v>28.9</v>
      </c>
      <c r="O17" s="5"/>
      <c r="P17" s="3"/>
      <c r="Q17" s="5" t="s">
        <v>37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2">
        <v>17.0</v>
      </c>
      <c r="B18" s="2">
        <v>1.0</v>
      </c>
      <c r="C18" s="2">
        <v>8.2464</v>
      </c>
      <c r="D18" s="2">
        <v>1.5</v>
      </c>
      <c r="E18" s="2">
        <v>5.15</v>
      </c>
      <c r="F18" s="2">
        <v>1.664</v>
      </c>
      <c r="G18" s="2">
        <v>2.0</v>
      </c>
      <c r="H18" s="2">
        <v>8.0</v>
      </c>
      <c r="I18" s="2">
        <v>4.0</v>
      </c>
      <c r="J18" s="2">
        <v>50.0</v>
      </c>
      <c r="K18" s="2">
        <v>4.0</v>
      </c>
      <c r="L18" s="2">
        <v>1.0</v>
      </c>
      <c r="M18" s="2">
        <v>0.0</v>
      </c>
      <c r="N18" s="4">
        <v>36.9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2">
        <v>18.0</v>
      </c>
      <c r="B19" s="2">
        <v>1.0</v>
      </c>
      <c r="C19" s="2">
        <v>6.6969</v>
      </c>
      <c r="D19" s="2">
        <v>1.5</v>
      </c>
      <c r="E19" s="2">
        <v>6.902</v>
      </c>
      <c r="F19" s="2">
        <v>1.488</v>
      </c>
      <c r="G19" s="2">
        <v>1.5</v>
      </c>
      <c r="H19" s="2">
        <v>7.0</v>
      </c>
      <c r="I19" s="2">
        <v>3.0</v>
      </c>
      <c r="J19" s="2">
        <v>22.0</v>
      </c>
      <c r="K19" s="2">
        <v>1.0</v>
      </c>
      <c r="L19" s="2">
        <v>1.0</v>
      </c>
      <c r="M19" s="2">
        <v>1.0</v>
      </c>
      <c r="N19" s="4">
        <v>41.9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2">
        <v>19.0</v>
      </c>
      <c r="B20" s="2">
        <v>1.0</v>
      </c>
      <c r="C20" s="2">
        <v>7.7841</v>
      </c>
      <c r="D20" s="2">
        <v>1.5</v>
      </c>
      <c r="E20" s="2">
        <v>7.102</v>
      </c>
      <c r="F20" s="2">
        <v>1.376</v>
      </c>
      <c r="G20" s="2">
        <v>1.0</v>
      </c>
      <c r="H20" s="2">
        <v>6.0</v>
      </c>
      <c r="I20" s="2">
        <v>3.0</v>
      </c>
      <c r="J20" s="2">
        <v>17.0</v>
      </c>
      <c r="K20" s="2">
        <v>2.0</v>
      </c>
      <c r="L20" s="2">
        <v>1.0</v>
      </c>
      <c r="M20" s="2">
        <v>0.0</v>
      </c>
      <c r="N20" s="4">
        <v>40.5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>
      <c r="A21" s="2">
        <v>20.0</v>
      </c>
      <c r="B21" s="2">
        <v>1.0</v>
      </c>
      <c r="C21" s="2">
        <v>9.0384</v>
      </c>
      <c r="D21" s="2">
        <v>1.0</v>
      </c>
      <c r="E21" s="2">
        <v>7.8</v>
      </c>
      <c r="F21" s="2">
        <v>1.5</v>
      </c>
      <c r="G21" s="2">
        <v>1.5</v>
      </c>
      <c r="H21" s="2">
        <v>7.0</v>
      </c>
      <c r="I21" s="2">
        <v>3.0</v>
      </c>
      <c r="J21" s="2">
        <v>23.0</v>
      </c>
      <c r="K21" s="2">
        <v>3.0</v>
      </c>
      <c r="L21" s="2">
        <v>3.0</v>
      </c>
      <c r="M21" s="2">
        <v>0.0</v>
      </c>
      <c r="N21" s="4">
        <v>43.9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>
      <c r="A22" s="2">
        <v>21.0</v>
      </c>
      <c r="B22" s="2">
        <v>1.0</v>
      </c>
      <c r="C22" s="2">
        <v>5.9894</v>
      </c>
      <c r="D22" s="2">
        <v>1.0</v>
      </c>
      <c r="E22" s="2">
        <v>5.52</v>
      </c>
      <c r="F22" s="2">
        <v>1.256</v>
      </c>
      <c r="G22" s="2">
        <v>2.0</v>
      </c>
      <c r="H22" s="2">
        <v>6.0</v>
      </c>
      <c r="I22" s="2">
        <v>3.0</v>
      </c>
      <c r="J22" s="2">
        <v>40.0</v>
      </c>
      <c r="K22" s="2">
        <v>4.0</v>
      </c>
      <c r="L22" s="2">
        <v>1.0</v>
      </c>
      <c r="M22" s="2">
        <v>1.0</v>
      </c>
      <c r="N22" s="4">
        <v>37.5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>
      <c r="A23" s="2">
        <v>22.0</v>
      </c>
      <c r="B23" s="2">
        <v>1.0</v>
      </c>
      <c r="C23" s="2">
        <v>7.5422</v>
      </c>
      <c r="D23" s="2">
        <v>1.5</v>
      </c>
      <c r="E23" s="2">
        <v>4.0</v>
      </c>
      <c r="F23" s="2">
        <v>1.69</v>
      </c>
      <c r="G23" s="2">
        <v>1.0</v>
      </c>
      <c r="H23" s="2">
        <v>6.0</v>
      </c>
      <c r="I23" s="2">
        <v>3.0</v>
      </c>
      <c r="J23" s="2">
        <v>22.0</v>
      </c>
      <c r="K23" s="2">
        <v>1.0</v>
      </c>
      <c r="L23" s="2">
        <v>1.0</v>
      </c>
      <c r="M23" s="2">
        <v>0.0</v>
      </c>
      <c r="N23" s="4">
        <v>37.9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>
      <c r="A24" s="2">
        <v>23.0</v>
      </c>
      <c r="B24" s="2">
        <v>1.0</v>
      </c>
      <c r="C24" s="2">
        <v>8.7951</v>
      </c>
      <c r="D24" s="2">
        <v>1.5</v>
      </c>
      <c r="E24" s="2">
        <v>9.89</v>
      </c>
      <c r="F24" s="2">
        <v>1.82</v>
      </c>
      <c r="G24" s="2">
        <v>2.0</v>
      </c>
      <c r="H24" s="2">
        <v>8.0</v>
      </c>
      <c r="I24" s="2">
        <v>4.0</v>
      </c>
      <c r="J24" s="2">
        <v>50.0</v>
      </c>
      <c r="K24" s="2">
        <v>1.0</v>
      </c>
      <c r="L24" s="2">
        <v>1.0</v>
      </c>
      <c r="M24" s="2">
        <v>1.0</v>
      </c>
      <c r="N24" s="4">
        <v>44.5</v>
      </c>
      <c r="O24" s="3"/>
      <c r="P24" s="3">
        <f t="array" ref="P24:AA24">LINEST(N2:N29,C2:M29,FALSE)</f>
        <v>2.680752137</v>
      </c>
      <c r="Q24" s="3">
        <v>1.7924702534021955</v>
      </c>
      <c r="R24" s="3">
        <v>1.0260580605273575</v>
      </c>
      <c r="S24" s="3">
        <v>-0.05848318880906154</v>
      </c>
      <c r="T24" s="3">
        <v>-0.2587935707461863</v>
      </c>
      <c r="U24" s="3">
        <v>-0.8699965120819373</v>
      </c>
      <c r="V24" s="3">
        <v>1.815216288559732</v>
      </c>
      <c r="W24" s="3">
        <v>12.46564715111578</v>
      </c>
      <c r="X24" s="3">
        <v>0.22634788841302445</v>
      </c>
      <c r="Y24" s="3">
        <v>10.386927469449347</v>
      </c>
      <c r="Z24" s="3">
        <v>0.7847642372816251</v>
      </c>
      <c r="AA24" s="3">
        <v>0.0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2">
        <v>24.0</v>
      </c>
      <c r="B25" s="2">
        <v>1.0</v>
      </c>
      <c r="C25" s="2">
        <v>6.0931</v>
      </c>
      <c r="D25" s="2">
        <v>1.5</v>
      </c>
      <c r="E25" s="2">
        <v>6.7265</v>
      </c>
      <c r="F25" s="2">
        <v>1.652</v>
      </c>
      <c r="G25" s="2">
        <v>1.0</v>
      </c>
      <c r="H25" s="2">
        <v>6.0</v>
      </c>
      <c r="I25" s="2">
        <v>3.0</v>
      </c>
      <c r="J25" s="2">
        <v>44.0</v>
      </c>
      <c r="K25" s="2">
        <v>4.0</v>
      </c>
      <c r="L25" s="2">
        <v>1.0</v>
      </c>
      <c r="M25" s="2">
        <v>0.0</v>
      </c>
      <c r="N25" s="4">
        <v>37.9</v>
      </c>
      <c r="O25" s="3"/>
      <c r="P25" s="13" t="s">
        <v>55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2">
        <v>25.0</v>
      </c>
      <c r="B26" s="2">
        <v>1.0</v>
      </c>
      <c r="C26" s="2">
        <v>8.3607</v>
      </c>
      <c r="D26" s="2">
        <v>1.5</v>
      </c>
      <c r="E26" s="2">
        <v>9.15</v>
      </c>
      <c r="F26" s="2">
        <v>1.777</v>
      </c>
      <c r="G26" s="2">
        <v>2.0</v>
      </c>
      <c r="H26" s="2">
        <v>8.0</v>
      </c>
      <c r="I26" s="2">
        <v>4.0</v>
      </c>
      <c r="J26" s="2">
        <v>48.0</v>
      </c>
      <c r="K26" s="2">
        <v>1.0</v>
      </c>
      <c r="L26" s="2">
        <v>1.0</v>
      </c>
      <c r="M26" s="2">
        <v>1.0</v>
      </c>
      <c r="N26" s="4">
        <v>38.9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s="2">
        <v>26.0</v>
      </c>
      <c r="B27" s="2">
        <v>1.0</v>
      </c>
      <c r="C27" s="2">
        <v>8.14</v>
      </c>
      <c r="D27" s="2">
        <v>1.0</v>
      </c>
      <c r="E27" s="2">
        <v>8.0</v>
      </c>
      <c r="F27" s="2">
        <v>1.504</v>
      </c>
      <c r="G27" s="2">
        <v>2.0</v>
      </c>
      <c r="H27" s="2">
        <v>7.0</v>
      </c>
      <c r="I27" s="2">
        <v>3.0</v>
      </c>
      <c r="J27" s="2">
        <v>3.0</v>
      </c>
      <c r="K27" s="2">
        <v>1.0</v>
      </c>
      <c r="L27" s="2">
        <v>3.0</v>
      </c>
      <c r="M27" s="2">
        <v>0.0</v>
      </c>
      <c r="N27" s="4">
        <v>36.9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2">
        <v>27.0</v>
      </c>
      <c r="B28" s="2">
        <v>1.0</v>
      </c>
      <c r="C28" s="2">
        <v>9.1416</v>
      </c>
      <c r="D28" s="2">
        <v>1.5</v>
      </c>
      <c r="E28" s="2">
        <v>7.3262</v>
      </c>
      <c r="F28" s="2">
        <v>1.831</v>
      </c>
      <c r="G28" s="2">
        <v>1.5</v>
      </c>
      <c r="H28" s="2">
        <v>8.0</v>
      </c>
      <c r="I28" s="2">
        <v>4.0</v>
      </c>
      <c r="J28" s="2">
        <v>31.0</v>
      </c>
      <c r="K28" s="2">
        <v>4.0</v>
      </c>
      <c r="L28" s="2">
        <v>1.0</v>
      </c>
      <c r="M28" s="2">
        <v>0.0</v>
      </c>
      <c r="N28" s="4">
        <v>45.8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>
      <c r="A29" s="2">
        <v>28.0</v>
      </c>
      <c r="B29" s="2">
        <v>1.0</v>
      </c>
      <c r="C29" s="2">
        <v>12.0</v>
      </c>
      <c r="D29" s="2">
        <v>1.5</v>
      </c>
      <c r="E29" s="2">
        <v>5.0</v>
      </c>
      <c r="F29" s="2">
        <v>1.2</v>
      </c>
      <c r="G29" s="2">
        <v>2.0</v>
      </c>
      <c r="H29" s="2">
        <v>6.0</v>
      </c>
      <c r="I29" s="2">
        <v>3.0</v>
      </c>
      <c r="J29" s="2">
        <v>30.0</v>
      </c>
      <c r="K29" s="2">
        <v>3.0</v>
      </c>
      <c r="L29" s="2">
        <v>1.0</v>
      </c>
      <c r="M29" s="2">
        <v>1.0</v>
      </c>
      <c r="N29" s="4">
        <v>41.0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conditionalFormatting sqref="O1:O1000">
    <cfRule type="notContainsBlanks" dxfId="0" priority="1">
      <formula>LEN(TRIM(O1))&gt;0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38"/>
  </cols>
  <sheetData>
    <row r="1">
      <c r="A1" s="14" t="s">
        <v>3</v>
      </c>
      <c r="B1" s="15" t="s">
        <v>13</v>
      </c>
      <c r="D1" s="16">
        <v>0.9250812628</v>
      </c>
      <c r="E1" s="11" t="s">
        <v>40</v>
      </c>
      <c r="G1" s="13" t="s">
        <v>16</v>
      </c>
    </row>
    <row r="2">
      <c r="A2" s="17">
        <v>1.0</v>
      </c>
      <c r="B2" s="18">
        <v>25.9</v>
      </c>
      <c r="D2" s="13" t="s">
        <v>47</v>
      </c>
      <c r="G2" s="13" t="s">
        <v>37</v>
      </c>
    </row>
    <row r="3">
      <c r="A3" s="17">
        <v>1.0</v>
      </c>
      <c r="B3" s="18">
        <v>29.5</v>
      </c>
      <c r="E3" s="13" t="s">
        <v>48</v>
      </c>
      <c r="F3" s="19">
        <f t="array" ref="F3:G7">linest(B2:B26,A2:A26,TRUE,true)</f>
        <v>31.87017544</v>
      </c>
      <c r="G3" s="19">
        <v>-2.368421052631601</v>
      </c>
      <c r="H3" s="13" t="s">
        <v>49</v>
      </c>
    </row>
    <row r="4">
      <c r="A4" s="17">
        <v>1.0</v>
      </c>
      <c r="B4" s="18">
        <v>27.9</v>
      </c>
      <c r="F4" s="12">
        <v>2.5983285859008274</v>
      </c>
      <c r="G4" s="12">
        <v>3.4568513490382573</v>
      </c>
    </row>
    <row r="5">
      <c r="A5" s="17">
        <v>1.0</v>
      </c>
      <c r="B5" s="18">
        <v>25.9</v>
      </c>
      <c r="E5" s="13" t="s">
        <v>50</v>
      </c>
      <c r="F5" s="19">
        <v>0.867393918163806</v>
      </c>
      <c r="G5" s="12">
        <v>5.548511527230599</v>
      </c>
    </row>
    <row r="6">
      <c r="A6" s="17">
        <v>1.0</v>
      </c>
      <c r="B6" s="18">
        <v>29.9</v>
      </c>
      <c r="F6" s="12">
        <v>150.44604170125092</v>
      </c>
      <c r="G6" s="12">
        <v>23.0</v>
      </c>
    </row>
    <row r="7">
      <c r="A7" s="17">
        <v>1.0</v>
      </c>
      <c r="B7" s="18">
        <v>29.9</v>
      </c>
      <c r="F7" s="12">
        <v>4631.628856140353</v>
      </c>
      <c r="G7" s="12">
        <v>708.0775438596492</v>
      </c>
    </row>
    <row r="8">
      <c r="A8" s="17">
        <v>1.0</v>
      </c>
      <c r="B8" s="18">
        <v>30.9</v>
      </c>
    </row>
    <row r="9">
      <c r="A9" s="17">
        <v>1.0</v>
      </c>
      <c r="B9" s="18">
        <v>28.9</v>
      </c>
      <c r="G9" s="13" t="s">
        <v>51</v>
      </c>
    </row>
    <row r="10">
      <c r="A10" s="17">
        <v>2.5</v>
      </c>
      <c r="B10" s="18">
        <v>84.9</v>
      </c>
      <c r="F10" s="20" t="s">
        <v>52</v>
      </c>
      <c r="G10" s="20" t="s">
        <v>53</v>
      </c>
      <c r="H10" s="20" t="s">
        <v>54</v>
      </c>
    </row>
    <row r="11">
      <c r="A11" s="17">
        <v>2.5</v>
      </c>
      <c r="B11" s="18">
        <v>82.9</v>
      </c>
      <c r="F11" s="21">
        <v>38.9</v>
      </c>
      <c r="G11" s="22">
        <f t="shared" ref="G11:G14" si="1">$F$3*A26-$G$3</f>
        <v>50.17368421</v>
      </c>
      <c r="H11" s="23">
        <f t="array" ref="H11:H14">TREND(B2:B25,A2:A25,A26:A29,true)</f>
        <v>45.8</v>
      </c>
    </row>
    <row r="12">
      <c r="A12" s="17">
        <v>1.0</v>
      </c>
      <c r="B12" s="18">
        <v>35.9</v>
      </c>
      <c r="F12" s="24">
        <v>36.9</v>
      </c>
      <c r="G12" s="12">
        <f t="shared" si="1"/>
        <v>34.23859649</v>
      </c>
      <c r="H12" s="25">
        <v>29.6833333333333</v>
      </c>
    </row>
    <row r="13">
      <c r="A13" s="17">
        <v>1.0</v>
      </c>
      <c r="B13" s="18">
        <v>31.5</v>
      </c>
      <c r="F13" s="24">
        <v>45.8</v>
      </c>
      <c r="G13" s="12">
        <f t="shared" si="1"/>
        <v>50.17368421</v>
      </c>
      <c r="H13" s="25">
        <v>45.79999999999998</v>
      </c>
    </row>
    <row r="14">
      <c r="A14" s="17">
        <v>1.0</v>
      </c>
      <c r="B14" s="18">
        <v>31.0</v>
      </c>
      <c r="F14" s="26">
        <v>41.0</v>
      </c>
      <c r="G14" s="27">
        <f t="shared" si="1"/>
        <v>50.17368421</v>
      </c>
      <c r="H14" s="28">
        <v>45.79999999999998</v>
      </c>
    </row>
    <row r="15">
      <c r="A15" s="17">
        <v>1.0</v>
      </c>
      <c r="B15" s="18">
        <v>30.9</v>
      </c>
    </row>
    <row r="16">
      <c r="A16" s="17">
        <v>1.0</v>
      </c>
      <c r="B16" s="18">
        <v>30.0</v>
      </c>
    </row>
    <row r="17">
      <c r="A17" s="17">
        <v>1.0</v>
      </c>
      <c r="B17" s="18">
        <v>28.9</v>
      </c>
    </row>
    <row r="18">
      <c r="A18" s="17">
        <v>1.5</v>
      </c>
      <c r="B18" s="18">
        <v>36.9</v>
      </c>
    </row>
    <row r="19">
      <c r="A19" s="17">
        <v>1.5</v>
      </c>
      <c r="B19" s="18">
        <v>41.9</v>
      </c>
    </row>
    <row r="20">
      <c r="A20" s="17">
        <v>1.5</v>
      </c>
      <c r="B20" s="18">
        <v>40.5</v>
      </c>
    </row>
    <row r="21">
      <c r="A21" s="29">
        <v>1.0</v>
      </c>
      <c r="B21" s="30">
        <v>43.9</v>
      </c>
    </row>
    <row r="22">
      <c r="A22" s="29">
        <v>1.0</v>
      </c>
      <c r="B22" s="30">
        <v>37.5</v>
      </c>
    </row>
    <row r="23">
      <c r="A23" s="29">
        <v>1.5</v>
      </c>
      <c r="B23" s="30">
        <v>37.9</v>
      </c>
    </row>
    <row r="24">
      <c r="A24" s="29">
        <v>1.5</v>
      </c>
      <c r="B24" s="30">
        <v>44.5</v>
      </c>
    </row>
    <row r="25">
      <c r="A25" s="29">
        <v>1.5</v>
      </c>
      <c r="B25" s="30">
        <v>37.9</v>
      </c>
    </row>
    <row r="26">
      <c r="A26" s="31">
        <v>1.5</v>
      </c>
      <c r="B26" s="32">
        <v>38.9</v>
      </c>
    </row>
    <row r="27">
      <c r="A27" s="31">
        <v>1.0</v>
      </c>
      <c r="B27" s="32">
        <v>36.9</v>
      </c>
    </row>
    <row r="28">
      <c r="A28" s="31">
        <v>1.5</v>
      </c>
      <c r="B28" s="32">
        <v>45.8</v>
      </c>
    </row>
    <row r="29">
      <c r="A29" s="31">
        <v>1.5</v>
      </c>
      <c r="B29" s="32">
        <v>41.0</v>
      </c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conditionalFormatting sqref="D1">
    <cfRule type="notContainsBlanks" dxfId="0" priority="1">
      <formula>LEN(TRIM(D1))&gt;0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5"/>
  </cols>
  <sheetData>
    <row r="1">
      <c r="A1" s="1" t="s">
        <v>3</v>
      </c>
      <c r="B1" s="1" t="s">
        <v>13</v>
      </c>
    </row>
    <row r="2">
      <c r="A2" s="10">
        <v>1.0</v>
      </c>
      <c r="B2" s="10">
        <v>25.9</v>
      </c>
      <c r="E2" s="12">
        <f t="shared" ref="E2:E29" si="1">$F$2*A2-$G$2</f>
        <v>35.64583333</v>
      </c>
      <c r="F2" s="12">
        <f t="array" ref="F2:G2">LINEST(B2:B23,A2:A23)</f>
        <v>32.80833333</v>
      </c>
      <c r="G2" s="12">
        <v>-2.8375000000000337</v>
      </c>
      <c r="H2" s="13" t="s">
        <v>41</v>
      </c>
      <c r="J2" s="12">
        <f t="array" ref="J2:J23">TREND(B2:B29,A2:A29,A2:A23,True)</f>
        <v>29.78587571</v>
      </c>
      <c r="M2" s="13" t="s">
        <v>43</v>
      </c>
      <c r="N2" s="13" t="s">
        <v>44</v>
      </c>
    </row>
    <row r="3">
      <c r="A3" s="10">
        <v>1.0</v>
      </c>
      <c r="B3" s="10">
        <v>29.5</v>
      </c>
      <c r="E3" s="12">
        <f t="shared" si="1"/>
        <v>35.64583333</v>
      </c>
      <c r="F3" s="13" t="s">
        <v>45</v>
      </c>
      <c r="J3" s="12">
        <v>29.785875706214686</v>
      </c>
      <c r="N3" s="12">
        <f> COUNTA(A2:A29)</f>
        <v>28</v>
      </c>
    </row>
    <row r="4">
      <c r="A4" s="10">
        <v>1.0</v>
      </c>
      <c r="B4" s="10">
        <v>27.9</v>
      </c>
      <c r="E4" s="12">
        <f t="shared" si="1"/>
        <v>35.64583333</v>
      </c>
      <c r="F4" s="13" t="s">
        <v>46</v>
      </c>
      <c r="J4" s="12">
        <v>29.785875706214686</v>
      </c>
    </row>
    <row r="5">
      <c r="A5" s="10">
        <v>1.0</v>
      </c>
      <c r="B5" s="10">
        <v>25.9</v>
      </c>
      <c r="E5" s="12">
        <f t="shared" si="1"/>
        <v>35.64583333</v>
      </c>
      <c r="J5" s="12">
        <v>29.785875706214686</v>
      </c>
    </row>
    <row r="6">
      <c r="A6" s="10">
        <v>1.0</v>
      </c>
      <c r="B6" s="10">
        <v>29.9</v>
      </c>
      <c r="E6" s="12">
        <f t="shared" si="1"/>
        <v>35.64583333</v>
      </c>
      <c r="J6" s="12">
        <v>29.785875706214686</v>
      </c>
    </row>
    <row r="7">
      <c r="A7" s="10">
        <v>1.0</v>
      </c>
      <c r="B7" s="10">
        <v>29.9</v>
      </c>
      <c r="E7" s="12">
        <f t="shared" si="1"/>
        <v>35.64583333</v>
      </c>
      <c r="J7" s="12">
        <v>29.785875706214686</v>
      </c>
    </row>
    <row r="8">
      <c r="A8" s="10">
        <v>1.0</v>
      </c>
      <c r="B8" s="10">
        <v>30.9</v>
      </c>
      <c r="E8" s="12">
        <f t="shared" si="1"/>
        <v>35.64583333</v>
      </c>
      <c r="J8" s="12">
        <v>29.785875706214686</v>
      </c>
    </row>
    <row r="9">
      <c r="A9" s="10">
        <v>1.0</v>
      </c>
      <c r="B9" s="10">
        <v>28.9</v>
      </c>
      <c r="E9" s="12">
        <f t="shared" si="1"/>
        <v>35.64583333</v>
      </c>
      <c r="J9" s="12">
        <v>29.785875706214686</v>
      </c>
    </row>
    <row r="10">
      <c r="A10" s="10">
        <v>2.5</v>
      </c>
      <c r="B10" s="10">
        <v>84.9</v>
      </c>
      <c r="E10" s="12">
        <f t="shared" si="1"/>
        <v>84.85833333</v>
      </c>
      <c r="J10" s="12">
        <v>76.66497175141245</v>
      </c>
    </row>
    <row r="11">
      <c r="A11" s="10">
        <v>2.5</v>
      </c>
      <c r="B11" s="10">
        <v>82.9</v>
      </c>
      <c r="E11" s="12">
        <f t="shared" si="1"/>
        <v>84.85833333</v>
      </c>
      <c r="J11" s="12">
        <v>76.66497175141245</v>
      </c>
    </row>
    <row r="12">
      <c r="A12" s="10">
        <v>1.0</v>
      </c>
      <c r="B12" s="10">
        <v>35.9</v>
      </c>
      <c r="E12" s="12">
        <f t="shared" si="1"/>
        <v>35.64583333</v>
      </c>
      <c r="J12" s="12">
        <v>29.785875706214686</v>
      </c>
    </row>
    <row r="13">
      <c r="A13" s="10">
        <v>1.0</v>
      </c>
      <c r="B13" s="10">
        <v>31.5</v>
      </c>
      <c r="E13" s="12">
        <f t="shared" si="1"/>
        <v>35.64583333</v>
      </c>
      <c r="J13" s="12">
        <v>29.785875706214686</v>
      </c>
    </row>
    <row r="14">
      <c r="A14" s="10">
        <v>1.0</v>
      </c>
      <c r="B14" s="10">
        <v>31.0</v>
      </c>
      <c r="E14" s="12">
        <f t="shared" si="1"/>
        <v>35.64583333</v>
      </c>
      <c r="J14" s="12">
        <v>29.785875706214686</v>
      </c>
    </row>
    <row r="15">
      <c r="A15" s="10">
        <v>1.0</v>
      </c>
      <c r="B15" s="10">
        <v>30.9</v>
      </c>
      <c r="E15" s="12">
        <f t="shared" si="1"/>
        <v>35.64583333</v>
      </c>
      <c r="J15" s="12">
        <v>29.785875706214686</v>
      </c>
    </row>
    <row r="16">
      <c r="A16" s="10">
        <v>1.0</v>
      </c>
      <c r="B16" s="10">
        <v>30.0</v>
      </c>
      <c r="E16" s="12">
        <f t="shared" si="1"/>
        <v>35.64583333</v>
      </c>
      <c r="J16" s="12">
        <v>29.785875706214686</v>
      </c>
    </row>
    <row r="17">
      <c r="A17" s="10">
        <v>1.0</v>
      </c>
      <c r="B17" s="10">
        <v>28.9</v>
      </c>
      <c r="E17" s="12">
        <f t="shared" si="1"/>
        <v>35.64583333</v>
      </c>
      <c r="J17" s="12">
        <v>29.785875706214686</v>
      </c>
    </row>
    <row r="18">
      <c r="A18" s="10">
        <v>1.5</v>
      </c>
      <c r="B18" s="10">
        <v>36.9</v>
      </c>
      <c r="E18" s="12">
        <f t="shared" si="1"/>
        <v>52.05</v>
      </c>
      <c r="J18" s="12">
        <v>45.41224105461394</v>
      </c>
    </row>
    <row r="19">
      <c r="A19" s="10">
        <v>1.5</v>
      </c>
      <c r="B19" s="10">
        <v>41.9</v>
      </c>
      <c r="E19" s="12">
        <f t="shared" si="1"/>
        <v>52.05</v>
      </c>
      <c r="J19" s="12">
        <v>45.41224105461394</v>
      </c>
    </row>
    <row r="20">
      <c r="A20" s="10">
        <v>1.5</v>
      </c>
      <c r="B20" s="10">
        <v>40.5</v>
      </c>
      <c r="E20" s="12">
        <f t="shared" si="1"/>
        <v>52.05</v>
      </c>
      <c r="J20" s="12">
        <v>45.41224105461394</v>
      </c>
    </row>
    <row r="21">
      <c r="A21" s="10">
        <v>1.0</v>
      </c>
      <c r="B21" s="10">
        <v>43.9</v>
      </c>
      <c r="E21" s="12">
        <f t="shared" si="1"/>
        <v>35.64583333</v>
      </c>
      <c r="J21" s="12">
        <v>29.785875706214686</v>
      </c>
    </row>
    <row r="22">
      <c r="A22" s="10">
        <v>1.0</v>
      </c>
      <c r="B22" s="10">
        <v>37.5</v>
      </c>
      <c r="E22" s="12">
        <f t="shared" si="1"/>
        <v>35.64583333</v>
      </c>
      <c r="J22" s="12">
        <v>29.785875706214686</v>
      </c>
    </row>
    <row r="23">
      <c r="A23" s="10">
        <v>1.5</v>
      </c>
      <c r="B23" s="10">
        <v>37.9</v>
      </c>
      <c r="E23" s="12">
        <f t="shared" si="1"/>
        <v>52.05</v>
      </c>
      <c r="J23" s="12">
        <v>45.41224105461394</v>
      </c>
    </row>
    <row r="24">
      <c r="A24" s="2">
        <v>1.5</v>
      </c>
      <c r="B24" s="4">
        <v>44.5</v>
      </c>
      <c r="E24" s="12">
        <f t="shared" si="1"/>
        <v>52.05</v>
      </c>
    </row>
    <row r="25">
      <c r="A25" s="2">
        <v>1.5</v>
      </c>
      <c r="B25" s="4">
        <v>37.9</v>
      </c>
      <c r="E25" s="12">
        <f t="shared" si="1"/>
        <v>52.05</v>
      </c>
    </row>
    <row r="26">
      <c r="A26" s="2">
        <v>1.5</v>
      </c>
      <c r="B26" s="4">
        <v>38.9</v>
      </c>
      <c r="E26" s="12">
        <f t="shared" si="1"/>
        <v>52.05</v>
      </c>
    </row>
    <row r="27">
      <c r="A27" s="2">
        <v>1.0</v>
      </c>
      <c r="B27" s="4">
        <v>36.9</v>
      </c>
      <c r="E27" s="12">
        <f t="shared" si="1"/>
        <v>35.64583333</v>
      </c>
    </row>
    <row r="28">
      <c r="A28" s="2">
        <v>1.5</v>
      </c>
      <c r="B28" s="4">
        <v>45.8</v>
      </c>
      <c r="E28" s="12">
        <f t="shared" si="1"/>
        <v>52.05</v>
      </c>
    </row>
    <row r="29">
      <c r="A29" s="2">
        <v>1.5</v>
      </c>
      <c r="B29" s="4">
        <v>41.0</v>
      </c>
      <c r="E29" s="12">
        <f t="shared" si="1"/>
        <v>52.05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</cols>
  <sheetData>
    <row r="1">
      <c r="A1" s="1" t="s">
        <v>13</v>
      </c>
    </row>
    <row r="2">
      <c r="A2" s="4">
        <v>25.9</v>
      </c>
    </row>
    <row r="3">
      <c r="A3" s="4">
        <v>29.5</v>
      </c>
    </row>
    <row r="4">
      <c r="A4" s="4">
        <v>27.9</v>
      </c>
    </row>
    <row r="5">
      <c r="A5" s="4">
        <v>25.9</v>
      </c>
    </row>
    <row r="6">
      <c r="A6" s="4">
        <v>29.9</v>
      </c>
    </row>
    <row r="7">
      <c r="A7" s="4">
        <v>29.9</v>
      </c>
    </row>
    <row r="8">
      <c r="A8" s="4">
        <v>30.9</v>
      </c>
    </row>
    <row r="9">
      <c r="A9" s="4">
        <v>28.9</v>
      </c>
    </row>
    <row r="10">
      <c r="A10" s="4">
        <v>84.9</v>
      </c>
    </row>
    <row r="11">
      <c r="A11" s="4">
        <v>82.9</v>
      </c>
    </row>
    <row r="12">
      <c r="A12" s="4">
        <v>35.9</v>
      </c>
    </row>
    <row r="13">
      <c r="A13" s="4">
        <v>31.5</v>
      </c>
    </row>
    <row r="14">
      <c r="A14" s="4">
        <v>31.0</v>
      </c>
    </row>
    <row r="15">
      <c r="A15" s="4">
        <v>30.9</v>
      </c>
    </row>
    <row r="16">
      <c r="A16" s="4">
        <v>30.0</v>
      </c>
    </row>
    <row r="17">
      <c r="A17" s="4">
        <v>28.9</v>
      </c>
    </row>
    <row r="18">
      <c r="A18" s="4">
        <v>36.9</v>
      </c>
    </row>
    <row r="19">
      <c r="A19" s="4">
        <v>41.9</v>
      </c>
    </row>
    <row r="20">
      <c r="A20" s="4">
        <v>40.5</v>
      </c>
    </row>
    <row r="21">
      <c r="A21" s="4">
        <v>43.9</v>
      </c>
    </row>
    <row r="22">
      <c r="A22" s="4">
        <v>37.5</v>
      </c>
    </row>
    <row r="23">
      <c r="A23" s="4">
        <v>37.9</v>
      </c>
    </row>
    <row r="24">
      <c r="A24" s="4">
        <v>44.5</v>
      </c>
    </row>
    <row r="25">
      <c r="A25" s="4">
        <v>37.9</v>
      </c>
    </row>
    <row r="26">
      <c r="A26" s="4">
        <v>38.9</v>
      </c>
    </row>
    <row r="27">
      <c r="A27" s="4">
        <v>36.9</v>
      </c>
    </row>
    <row r="28">
      <c r="A28" s="4">
        <v>45.8</v>
      </c>
    </row>
    <row r="29">
      <c r="A29" s="4">
        <v>41.0</v>
      </c>
    </row>
  </sheetData>
  <drawing r:id="rId1"/>
</worksheet>
</file>