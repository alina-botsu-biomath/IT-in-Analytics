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<sst xmlns="http://schemas.openxmlformats.org/spreadsheetml/2006/main" count="16" uniqueCount="16">
  <si>
    <t>Трельяжі</t>
  </si>
  <si>
    <t>Трюмо</t>
  </si>
  <si>
    <t>Тумбочки</t>
  </si>
  <si>
    <t>Кількість</t>
  </si>
  <si>
    <t>Плановий фонд робочого часу</t>
  </si>
  <si>
    <t>Норми витрати матеріалу, м3</t>
  </si>
  <si>
    <t>16-800 людино-годин.</t>
  </si>
  <si>
    <t>?</t>
  </si>
  <si>
    <t>деревностружкові плити</t>
  </si>
  <si>
    <t>дошки ялинові</t>
  </si>
  <si>
    <t>дошки березові</t>
  </si>
  <si>
    <t>Трудомісткість, чол.-ч.</t>
  </si>
  <si>
    <t>Планова собівартість, гр. од.</t>
  </si>
  <si>
    <t>Оптова ціна, гр. од.</t>
  </si>
  <si>
    <t>Запас м3</t>
  </si>
  <si>
    <t>Плановий асортимент, шт.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</si>
</sst>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1" t="s">
        <v>3</v>
      </c>
      <c r="B2" s="1">
        <v>150.0</v>
      </c>
      <c r="C2" s="1">
        <v>200.0</v>
      </c>
      <c r="D2" s="1">
        <v>170.0</v>
      </c>
      <c r="H2" s="1" t="s">
        <v>4</v>
      </c>
    </row>
    <row r="3">
      <c r="A3" s="1" t="s">
        <v>5</v>
      </c>
      <c r="H3" s="1" t="s">
        <v>6</v>
      </c>
      <c r="J3" s="1" t="s">
        <v>7</v>
      </c>
    </row>
    <row r="4">
      <c r="A4" s="1" t="s">
        <v>8</v>
      </c>
      <c r="B4" s="1">
        <v>0.032</v>
      </c>
      <c r="C4" s="1">
        <v>0.031</v>
      </c>
      <c r="D4" s="1">
        <v>0.038</v>
      </c>
    </row>
    <row r="5">
      <c r="A5" s="1" t="s">
        <v>9</v>
      </c>
      <c r="B5" s="1">
        <v>0.02</v>
      </c>
      <c r="C5" s="1">
        <v>0.02</v>
      </c>
      <c r="D5" s="1">
        <v>0.006</v>
      </c>
    </row>
    <row r="6">
      <c r="A6" s="1" t="s">
        <v>10</v>
      </c>
      <c r="B6" s="1">
        <v>0.005</v>
      </c>
      <c r="C6" s="1">
        <v>0.005</v>
      </c>
      <c r="D6" s="1">
        <v>0.006</v>
      </c>
    </row>
    <row r="9">
      <c r="A9" s="1" t="s">
        <v>11</v>
      </c>
      <c r="B9" s="1">
        <v>10.2</v>
      </c>
      <c r="C9" s="1">
        <v>7.5</v>
      </c>
      <c r="D9" s="1">
        <v>5.8</v>
      </c>
    </row>
    <row r="11">
      <c r="A11" s="1" t="s">
        <v>12</v>
      </c>
      <c r="B11" s="1">
        <v>88.81</v>
      </c>
      <c r="C11" s="1">
        <v>63.98</v>
      </c>
      <c r="D11" s="1">
        <v>29.6</v>
      </c>
    </row>
    <row r="12">
      <c r="A12" s="1" t="s">
        <v>13</v>
      </c>
      <c r="B12" s="1">
        <v>93.0</v>
      </c>
      <c r="C12" s="1">
        <v>67.0</v>
      </c>
      <c r="D12" s="1">
        <v>30.0</v>
      </c>
    </row>
    <row r="13">
      <c r="H13" s="1" t="s">
        <v>14</v>
      </c>
    </row>
    <row r="14">
      <c r="B14" s="1">
        <f t="shared" ref="B14:D14" si="1">B4*B2</f>
        <v>4.8</v>
      </c>
      <c r="C14" s="2">
        <f t="shared" si="1"/>
        <v>6.2</v>
      </c>
      <c r="D14" s="2">
        <f t="shared" si="1"/>
        <v>6.46</v>
      </c>
      <c r="F14" s="2">
        <f>SUMPRODUCT(B2:D2,B4:D4)</f>
        <v>17.46</v>
      </c>
      <c r="H14" s="1">
        <v>90.0</v>
      </c>
    </row>
    <row r="15">
      <c r="B15" s="1"/>
      <c r="F15" s="2">
        <f>SUMPRODUCT(B2:D2,B5:D5)</f>
        <v>8.02</v>
      </c>
      <c r="H15" s="1">
        <v>30.0</v>
      </c>
    </row>
    <row r="16">
      <c r="F16" s="2">
        <f>SUMPRODUCT(B2:D2,B6:D6)</f>
        <v>2.77</v>
      </c>
      <c r="H16" s="1">
        <v>314.0</v>
      </c>
    </row>
    <row r="17">
      <c r="A17" s="1" t="s">
        <v>15</v>
      </c>
      <c r="B17" s="1">
        <v>350.0</v>
      </c>
      <c r="C17" s="1">
        <v>290.0</v>
      </c>
      <c r="D17" s="1">
        <v>1200.0</v>
      </c>
    </row>
    <row r="20">
      <c r="F20" s="1"/>
    </row>
  </sheetData>
  <drawing r:id="rId1"/>
</worksheet>
</file>