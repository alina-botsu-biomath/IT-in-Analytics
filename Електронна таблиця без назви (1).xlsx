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  <sheet state="visible" name="Аркуш3" sheetId="3" r:id="rId7"/>
    <sheet state="visible" name="Аркуш4" sheetId="4" r:id="rId8"/>
    <sheet state="visible" name="Аркуш5" sheetId="5" r:id="rId9"/>
    <sheet state="visible" name="Аркуш6" sheetId="6" r:id="rId10"/>
    <sheet state="visible" name="Аркуш7" sheetId="7" r:id="rId11"/>
  </sheets>
  <definedNames/>
  <calcPr/>
</workbook>
</file>

<file path=xl/sharedStrings.xml><?xml version="1.0" encoding="utf-8"?>
<sst xmlns="http://schemas.openxmlformats.org/spreadsheetml/2006/main" count="325" uniqueCount="199">
  <si>
    <t>Курс Доллару</t>
  </si>
  <si>
    <t>Ціна в $ акцій</t>
  </si>
  <si>
    <t>Ціна в грн акцій Амазону</t>
  </si>
  <si>
    <t xml:space="preserve">Ціна </t>
  </si>
  <si>
    <t>Албанія</t>
  </si>
  <si>
    <t>Андорра</t>
  </si>
  <si>
    <t>Австрія</t>
  </si>
  <si>
    <t>Бельгія</t>
  </si>
  <si>
    <t>Боснія і Герцеговина</t>
  </si>
  <si>
    <t>Болгарія</t>
  </si>
  <si>
    <t>№ ПП</t>
  </si>
  <si>
    <t xml:space="preserve">Студент </t>
  </si>
  <si>
    <t>Естествознание</t>
  </si>
  <si>
    <t>Линейная Алгебра</t>
  </si>
  <si>
    <t>Философия</t>
  </si>
  <si>
    <t>Иностранный Язык</t>
  </si>
  <si>
    <t>Культорология</t>
  </si>
  <si>
    <t>Отечественная История</t>
  </si>
  <si>
    <t xml:space="preserve">Этика и Эстетика делового общения </t>
  </si>
  <si>
    <t>Информатика</t>
  </si>
  <si>
    <t xml:space="preserve">Природопользование </t>
  </si>
  <si>
    <t>Физкультура</t>
  </si>
  <si>
    <t>Хорватія</t>
  </si>
  <si>
    <t>Экономическая Теория</t>
  </si>
  <si>
    <t>Андрушко Тетяна</t>
  </si>
  <si>
    <t>Кіпр</t>
  </si>
  <si>
    <t>Чехія</t>
  </si>
  <si>
    <t>Балаціон Андрій Євгенійович</t>
  </si>
  <si>
    <t>Данія</t>
  </si>
  <si>
    <t>Естонія</t>
  </si>
  <si>
    <t>Боцу Аліна Олегівна</t>
  </si>
  <si>
    <t>Фінляндія</t>
  </si>
  <si>
    <t>Франція</t>
  </si>
  <si>
    <t>Бурлаченко Вікторія Олексіївна</t>
  </si>
  <si>
    <t>Німеччина</t>
  </si>
  <si>
    <t>Васільєва Вікторія Юріївна</t>
  </si>
  <si>
    <t>Греція</t>
  </si>
  <si>
    <t>Угорщина</t>
  </si>
  <si>
    <t>Войдило Артур Ігорович</t>
  </si>
  <si>
    <t>Ісландія</t>
  </si>
  <si>
    <t>Гнусинська Тетяна Андріївна</t>
  </si>
  <si>
    <t>Ірландія</t>
  </si>
  <si>
    <t>Італія</t>
  </si>
  <si>
    <t>Дикусар Максим Ігорович</t>
  </si>
  <si>
    <t>Косово</t>
  </si>
  <si>
    <t>Ділігул Сергій Сергійович</t>
  </si>
  <si>
    <t>Латвія</t>
  </si>
  <si>
    <t>Литва</t>
  </si>
  <si>
    <t>Єждіна Дарія Валентинівна</t>
  </si>
  <si>
    <t>Люксембург</t>
  </si>
  <si>
    <t>Іскренко Давид Володимирович</t>
  </si>
  <si>
    <t>Македонія (Північна Македонія)</t>
  </si>
  <si>
    <t>Мальта</t>
  </si>
  <si>
    <t>Козаченко Лілія Олегівна</t>
  </si>
  <si>
    <t>Молдова</t>
  </si>
  <si>
    <t>Лисий Богдан Олексійович</t>
  </si>
  <si>
    <t>Монако</t>
  </si>
  <si>
    <t>Чорногорія</t>
  </si>
  <si>
    <t>Нідерланди</t>
  </si>
  <si>
    <t>Норвегія</t>
  </si>
  <si>
    <t>№</t>
  </si>
  <si>
    <t>Фамилия</t>
  </si>
  <si>
    <t>Ставка</t>
  </si>
  <si>
    <t>Отр.дней</t>
  </si>
  <si>
    <t>Профессия</t>
  </si>
  <si>
    <t>Начислено</t>
  </si>
  <si>
    <t>Налог</t>
  </si>
  <si>
    <t>На руки</t>
  </si>
  <si>
    <t>Немцов</t>
  </si>
  <si>
    <t>Каменщик</t>
  </si>
  <si>
    <t>Петров</t>
  </si>
  <si>
    <t>Плотник</t>
  </si>
  <si>
    <t>Сергеева</t>
  </si>
  <si>
    <t>Маляр</t>
  </si>
  <si>
    <t>Новиков</t>
  </si>
  <si>
    <t>Бетонщик</t>
  </si>
  <si>
    <t>Васильев</t>
  </si>
  <si>
    <t>Иванов</t>
  </si>
  <si>
    <t>Смирнова</t>
  </si>
  <si>
    <t>Степанов</t>
  </si>
  <si>
    <t>Горбунова</t>
  </si>
  <si>
    <t>Сверидов</t>
  </si>
  <si>
    <t>Лі Сян</t>
  </si>
  <si>
    <t>Митникова Анастасія Олександрівна</t>
  </si>
  <si>
    <t>Нікуліна Ольга Юріївна</t>
  </si>
  <si>
    <t>Оніщук Марія Олександрівна</t>
  </si>
  <si>
    <t>Поддубна Мішель Михайлівна</t>
  </si>
  <si>
    <t>Ряхін Владислав Євгенович</t>
  </si>
  <si>
    <t>Шаккуф Маріам Саадівна</t>
  </si>
  <si>
    <t>Польща</t>
  </si>
  <si>
    <t>Португалія</t>
  </si>
  <si>
    <t>Румунія</t>
  </si>
  <si>
    <t>Сан-Марино</t>
  </si>
  <si>
    <t>Сербія</t>
  </si>
  <si>
    <t>Словаччина</t>
  </si>
  <si>
    <t>Словенія</t>
  </si>
  <si>
    <t>Іспанія</t>
  </si>
  <si>
    <t>Швеція</t>
  </si>
  <si>
    <t>Швейцарія</t>
  </si>
  <si>
    <t>Туреччина</t>
  </si>
  <si>
    <t>Україна</t>
  </si>
  <si>
    <t>Велика Британія</t>
  </si>
  <si>
    <t>Ватикан</t>
  </si>
  <si>
    <t>Математика</t>
  </si>
  <si>
    <t>Русский язык</t>
  </si>
  <si>
    <t>Иностранный язык</t>
  </si>
  <si>
    <t>Сумма</t>
  </si>
  <si>
    <t>Зачисление (да/нет)</t>
  </si>
  <si>
    <t xml:space="preserve">ТУТ РАЗОБРАТЬ ПОЧЕМУ не работает </t>
  </si>
  <si>
    <t>Проходной балл</t>
  </si>
  <si>
    <t xml:space="preserve">№ покупателя  </t>
  </si>
  <si>
    <t>Стоимость товара</t>
  </si>
  <si>
    <t>Наличие дисконтной карты (да/нет)</t>
  </si>
  <si>
    <t>Цена</t>
  </si>
  <si>
    <t>да</t>
  </si>
  <si>
    <t>нет</t>
  </si>
  <si>
    <t xml:space="preserve">да </t>
  </si>
  <si>
    <t>Дата переговоров</t>
  </si>
  <si>
    <t>День недели</t>
  </si>
  <si>
    <t>Праздник (да/нет)</t>
  </si>
  <si>
    <t>Время начала переговоров</t>
  </si>
  <si>
    <t>Длительность</t>
  </si>
  <si>
    <t>Оплата</t>
  </si>
  <si>
    <t>Смирнов</t>
  </si>
  <si>
    <t>Понедельник</t>
  </si>
  <si>
    <t>Да</t>
  </si>
  <si>
    <t>Вторник</t>
  </si>
  <si>
    <t>Нет</t>
  </si>
  <si>
    <t>Кузнецов</t>
  </si>
  <si>
    <t>Среда</t>
  </si>
  <si>
    <t>Соколов</t>
  </si>
  <si>
    <t>Четверг</t>
  </si>
  <si>
    <t>Попов</t>
  </si>
  <si>
    <t>Пятница</t>
  </si>
  <si>
    <t>Лебедев</t>
  </si>
  <si>
    <t>Суббота</t>
  </si>
  <si>
    <t>Козлов</t>
  </si>
  <si>
    <t>Воскресенье</t>
  </si>
  <si>
    <t>Морозов</t>
  </si>
  <si>
    <t>Волков</t>
  </si>
  <si>
    <t>Соловьев</t>
  </si>
  <si>
    <t>Зайцев</t>
  </si>
  <si>
    <t>Павлов</t>
  </si>
  <si>
    <t>Семенов</t>
  </si>
  <si>
    <t>Голубев</t>
  </si>
  <si>
    <t>Виноградов</t>
  </si>
  <si>
    <t>Богданов</t>
  </si>
  <si>
    <t>Воробьев</t>
  </si>
  <si>
    <t>Федоров</t>
  </si>
  <si>
    <t>Михайлов</t>
  </si>
  <si>
    <t>Беляев</t>
  </si>
  <si>
    <t>Тарасов</t>
  </si>
  <si>
    <t>Белов</t>
  </si>
  <si>
    <t xml:space="preserve">тарим за минуту </t>
  </si>
  <si>
    <t>Страна</t>
  </si>
  <si>
    <t xml:space="preserve">Середне значення </t>
  </si>
  <si>
    <t>МІнімальне значення</t>
  </si>
  <si>
    <t>Максимальне значення</t>
  </si>
  <si>
    <t>ВВП ($)</t>
  </si>
  <si>
    <t>Населення</t>
  </si>
  <si>
    <t xml:space="preserve">ВВП_ДН </t>
  </si>
  <si>
    <t>Австрия</t>
  </si>
  <si>
    <t>Албания</t>
  </si>
  <si>
    <t>Армения</t>
  </si>
  <si>
    <t>Бельгия</t>
  </si>
  <si>
    <t>Болгария</t>
  </si>
  <si>
    <t>Босния и Герцеговина</t>
  </si>
  <si>
    <t>Великобритания</t>
  </si>
  <si>
    <t>Венгрия</t>
  </si>
  <si>
    <t>Германия</t>
  </si>
  <si>
    <t>Греция</t>
  </si>
  <si>
    <t>Грузия</t>
  </si>
  <si>
    <t>Дания</t>
  </si>
  <si>
    <t>Ирландия</t>
  </si>
  <si>
    <t>Исландия</t>
  </si>
  <si>
    <t>Испания</t>
  </si>
  <si>
    <t>Италия</t>
  </si>
  <si>
    <t>Кипр</t>
  </si>
  <si>
    <t>Латвия</t>
  </si>
  <si>
    <t>Молдавия</t>
  </si>
  <si>
    <t>Нидерланды</t>
  </si>
  <si>
    <t>Норвегия</t>
  </si>
  <si>
    <t>Польша</t>
  </si>
  <si>
    <t>Португалия</t>
  </si>
  <si>
    <t>Румыния</t>
  </si>
  <si>
    <t>Северная Македония</t>
  </si>
  <si>
    <t>Сербия</t>
  </si>
  <si>
    <t>Словакия</t>
  </si>
  <si>
    <t>Словения</t>
  </si>
  <si>
    <t>Турция</t>
  </si>
  <si>
    <t>Украина</t>
  </si>
  <si>
    <t>Финляндия</t>
  </si>
  <si>
    <t>Франция</t>
  </si>
  <si>
    <t>Хорватия</t>
  </si>
  <si>
    <t>Черногория</t>
  </si>
  <si>
    <t>Чехия</t>
  </si>
  <si>
    <t>Швейцария</t>
  </si>
  <si>
    <t>Швеция</t>
  </si>
  <si>
    <t>Эстония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</si>
</sst>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\ [$грн. -422]"/>
    <numFmt numFmtId="165" formatCode="_(* #,##0.00_)\ [$грн. -422]_);\(#,##0.00\)\ [$грн. -422]_);_(* &quot;-&quot;??_)\ [$грн. -422]_);_(@"/>
    <numFmt numFmtId="166" formatCode="dd.MM.yyyy"/>
    <numFmt numFmtId="167" formatCode="HH:mm:ss"/>
    <numFmt numFmtId="168" formatCode="hh&quot;:&quot;mm"/>
    <numFmt numFmtId="169" formatCode="dd.mm.yyyy"/>
    <numFmt numFmtId="170" formatCode="d.m.yyyy"/>
    <numFmt numFmtId="171" formatCode="#,##0.000"/>
  </numFmts>
  <fonts count="16">
    <font>
      <sz val="10.0"/>
      <color rgb="FF000000"/>
      <name val="Arial"/>
      <scheme val="minor"/>
    </font>
    <font>
      <sz val="12.0"/>
      <color theme="1"/>
      <name val="Merriweather"/>
    </font>
    <font>
      <color theme="1"/>
      <name val="Merriweather"/>
    </font>
    <font>
      <sz val="11.0"/>
      <color rgb="FF333333"/>
      <name val="Toster-text"/>
    </font>
    <font>
      <color theme="1"/>
      <name val="Arial"/>
      <scheme val="minor"/>
    </font>
    <font>
      <sz val="14.0"/>
      <color rgb="FF000000"/>
      <name val="Roboto"/>
    </font>
    <font>
      <sz val="12.0"/>
      <color rgb="FF374151"/>
      <name val="Söhne"/>
    </font>
    <font>
      <sz val="9.0"/>
      <color rgb="FF000000"/>
      <name val="&quot;Google Sans Mono&quot;"/>
    </font>
    <font>
      <sz val="11.0"/>
      <color rgb="FF1F1F1F"/>
      <name val="&quot;Google Sans&quot;"/>
    </font>
    <font>
      <b/>
      <sz val="11.0"/>
      <color rgb="FF202122"/>
      <name val="Arial"/>
    </font>
    <font>
      <b/>
      <sz val="11.0"/>
      <color rgb="FF000000"/>
      <name val="Arial"/>
    </font>
    <font/>
    <font>
      <sz val="11.0"/>
      <color rgb="FF202122"/>
      <name val="Arial"/>
    </font>
    <font>
      <u/>
      <sz val="11.0"/>
      <color rgb="FF202122"/>
      <name val="Sans-serif"/>
    </font>
    <font>
      <sz val="9.0"/>
      <color theme="1"/>
      <name val="Google Sans Mono"/>
    </font>
    <font>
      <u/>
      <sz val="11.0"/>
      <color rgb="FF202122"/>
      <name val="Sans-seri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8"/>
        <bgColor rgb="FFF7F7F8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0" fontId="4" numFmtId="0" xfId="0" applyAlignment="1" applyFont="1">
      <alignment readingOrder="0" textRotation="90" vertical="bottom"/>
    </xf>
    <xf borderId="0" fillId="0" fontId="4" numFmtId="0" xfId="0" applyAlignment="1" applyFont="1">
      <alignment textRotation="90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3" fontId="6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5" xfId="0" applyFont="1" applyNumberFormat="1"/>
    <xf borderId="0" fillId="0" fontId="4" numFmtId="0" xfId="0" applyAlignment="1" applyFont="1">
      <alignment vertical="bottom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0" fontId="4" numFmtId="168" xfId="0" applyFont="1" applyNumberFormat="1"/>
    <xf borderId="0" fillId="0" fontId="4" numFmtId="167" xfId="0" applyFont="1" applyNumberFormat="1"/>
    <xf borderId="0" fillId="0" fontId="4" numFmtId="164" xfId="0" applyAlignment="1" applyFont="1" applyNumberFormat="1">
      <alignment readingOrder="0"/>
    </xf>
    <xf borderId="0" fillId="0" fontId="4" numFmtId="166" xfId="0" applyFont="1" applyNumberFormat="1"/>
    <xf borderId="1" fillId="4" fontId="9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0" fillId="4" fontId="9" numFmtId="3" xfId="0" applyAlignment="1" applyFont="1" applyNumberForma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0" fontId="11" numFmtId="0" xfId="0" applyBorder="1" applyFont="1"/>
    <xf borderId="3" fillId="4" fontId="9" numFmtId="3" xfId="0" applyAlignment="1" applyBorder="1" applyFont="1" applyNumberFormat="1">
      <alignment horizontal="center" readingOrder="0"/>
    </xf>
    <xf borderId="0" fillId="4" fontId="9" numFmtId="0" xfId="0" applyAlignment="1" applyFont="1">
      <alignment horizontal="center" readingOrder="0"/>
    </xf>
    <xf borderId="3" fillId="4" fontId="9" numFmtId="3" xfId="0" applyAlignment="1" applyBorder="1" applyFont="1" applyNumberFormat="1">
      <alignment horizontal="center" readingOrder="0"/>
    </xf>
    <xf borderId="4" fillId="5" fontId="12" numFmtId="0" xfId="0" applyAlignment="1" applyBorder="1" applyFill="1" applyFont="1">
      <alignment horizontal="center" readingOrder="0"/>
    </xf>
    <xf borderId="4" fillId="5" fontId="13" numFmtId="0" xfId="0" applyAlignment="1" applyBorder="1" applyFont="1">
      <alignment horizontal="center" readingOrder="0"/>
    </xf>
    <xf borderId="4" fillId="2" fontId="7" numFmtId="3" xfId="0" applyAlignment="1" applyBorder="1" applyFont="1" applyNumberFormat="1">
      <alignment horizontal="center"/>
    </xf>
    <xf borderId="4" fillId="2" fontId="7" numFmtId="3" xfId="0" applyAlignment="1" applyBorder="1" applyFont="1" applyNumberFormat="1">
      <alignment horizontal="center"/>
    </xf>
    <xf borderId="4" fillId="2" fontId="7" numFmtId="171" xfId="0" applyAlignment="1" applyBorder="1" applyFont="1" applyNumberFormat="1">
      <alignment horizontal="center"/>
    </xf>
    <xf borderId="4" fillId="2" fontId="14" numFmtId="3" xfId="0" applyAlignment="1" applyBorder="1" applyFont="1" applyNumberFormat="1">
      <alignment horizontal="center" vertical="bottom"/>
    </xf>
    <xf borderId="5" fillId="2" fontId="14" numFmtId="3" xfId="0" applyAlignment="1" applyBorder="1" applyFont="1" applyNumberFormat="1">
      <alignment horizontal="center" vertical="bottom"/>
    </xf>
    <xf borderId="5" fillId="2" fontId="14" numFmtId="171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horizontal="center"/>
    </xf>
    <xf borderId="0" fillId="2" fontId="7" numFmtId="171" xfId="0" applyFont="1" applyNumberFormat="1"/>
    <xf borderId="0" fillId="2" fontId="7" numFmtId="171" xfId="0" applyAlignment="1" applyFont="1" applyNumberFormat="1">
      <alignment readingOrder="0"/>
    </xf>
    <xf borderId="0" fillId="0" fontId="4" numFmtId="3" xfId="0" applyAlignment="1" applyFont="1" applyNumberFormat="1">
      <alignment horizontal="center"/>
    </xf>
    <xf borderId="0" fillId="0" fontId="4" numFmtId="171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2" fillId="5" fontId="12" numFmtId="0" xfId="0" applyAlignment="1" applyBorder="1" applyFont="1">
      <alignment horizontal="center" readingOrder="0"/>
    </xf>
    <xf borderId="2" fillId="5" fontId="15" numFmtId="0" xfId="0" applyAlignment="1" applyBorder="1" applyFon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0000"/>
      </font>
      <fill>
        <patternFill patternType="solid">
          <fgColor rgb="FF9FC5E8"/>
          <bgColor rgb="FF9FC5E8"/>
        </patternFill>
      </fill>
      <border/>
    </dxf>
    <dxf>
      <font>
        <color rgb="FF0B5394"/>
      </font>
      <fill>
        <patternFill patternType="solid">
          <fgColor rgb="FF93C47D"/>
          <bgColor rgb="FF93C47D"/>
        </patternFill>
      </fill>
      <border/>
    </dxf>
    <dxf>
      <font>
        <color rgb="FF00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219075</xdr:colOff>
      <xdr:row>2</xdr:row>
      <xdr:rowOff>219075</xdr:rowOff>
    </xdr:from>
    <xdr:ext cx="4486275" cy="2133600"/>
    <xdr:pic>
      <xdr:nvPicPr>
        <xdr:cNvPr id="876636476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u.wikipedia.org/wiki/%D0%A8%D0%B2%D0%B5%D1%86%D0%B8%D1%8F" TargetMode="External"/><Relationship Id="rId20" Type="http://schemas.openxmlformats.org/officeDocument/2006/relationships/hyperlink" Target="https://ru.wikipedia.org/wiki/%D0%9B%D1%8E%D0%BA%D1%81%D0%B5%D0%BC%D0%B1%D1%83%D1%80%D0%B3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ru.wikipedia.org/wiki/%D0%AD%D1%81%D1%82%D0%BE%D0%BD%D0%B8%D1%8F" TargetMode="External"/><Relationship Id="rId22" Type="http://schemas.openxmlformats.org/officeDocument/2006/relationships/hyperlink" Target="https://ru.wikipedia.org/wiki/%D0%9C%D0%BE%D0%BB%D0%B4%D0%B0%D0%B2%D0%B8%D1%8F" TargetMode="External"/><Relationship Id="rId21" Type="http://schemas.openxmlformats.org/officeDocument/2006/relationships/hyperlink" Target="https://ru.wikipedia.org/wiki/%D0%9C%D0%B0%D0%BB%D1%8C%D1%82%D0%B0" TargetMode="External"/><Relationship Id="rId24" Type="http://schemas.openxmlformats.org/officeDocument/2006/relationships/hyperlink" Target="https://ru.wikipedia.org/wiki/%D0%9D%D0%BE%D1%80%D0%B2%D0%B5%D0%B3%D0%B8%D1%8F" TargetMode="External"/><Relationship Id="rId23" Type="http://schemas.openxmlformats.org/officeDocument/2006/relationships/hyperlink" Target="https://ru.wikipedia.org/wiki/%D0%9D%D0%B8%D0%B4%D0%B5%D1%80%D0%BB%D0%B0%D0%BD%D0%B4%D1%8B" TargetMode="External"/><Relationship Id="rId1" Type="http://schemas.openxmlformats.org/officeDocument/2006/relationships/hyperlink" Target="https://ru.wikipedia.org/wiki/%D0%90%D0%B2%D1%81%D1%82%D1%80%D0%B8%D1%8F" TargetMode="External"/><Relationship Id="rId2" Type="http://schemas.openxmlformats.org/officeDocument/2006/relationships/hyperlink" Target="https://ru.wikipedia.org/wiki/%D0%90%D0%BB%D0%B1%D0%B0%D0%BD%D0%B8%D1%8F" TargetMode="External"/><Relationship Id="rId3" Type="http://schemas.openxmlformats.org/officeDocument/2006/relationships/hyperlink" Target="https://ru.wikipedia.org/wiki/%D0%90%D1%80%D0%BC%D0%B5%D0%BD%D0%B8%D1%8F" TargetMode="External"/><Relationship Id="rId4" Type="http://schemas.openxmlformats.org/officeDocument/2006/relationships/hyperlink" Target="https://ru.wikipedia.org/wiki/%D0%91%D0%B5%D0%BB%D1%8C%D0%B3%D0%B8%D1%8F" TargetMode="External"/><Relationship Id="rId9" Type="http://schemas.openxmlformats.org/officeDocument/2006/relationships/hyperlink" Target="https://ru.wikipedia.org/wiki/%D0%93%D0%B5%D1%80%D0%BC%D0%B0%D0%BD%D0%B8%D1%8F" TargetMode="External"/><Relationship Id="rId26" Type="http://schemas.openxmlformats.org/officeDocument/2006/relationships/hyperlink" Target="https://ru.wikipedia.org/wiki/%D0%9F%D0%BE%D1%80%D1%82%D1%83%D0%B3%D0%B0%D0%BB%D0%B8%D1%8F" TargetMode="External"/><Relationship Id="rId25" Type="http://schemas.openxmlformats.org/officeDocument/2006/relationships/hyperlink" Target="https://ru.wikipedia.org/wiki/%D0%9F%D0%BE%D0%BB%D1%8C%D1%88%D0%B0" TargetMode="External"/><Relationship Id="rId28" Type="http://schemas.openxmlformats.org/officeDocument/2006/relationships/hyperlink" Target="https://ru.wikipedia.org/wiki/%D0%A1%D0%B5%D0%B2%D0%B5%D1%80%D0%BD%D0%B0%D1%8F_%D0%9C%D0%B0%D0%BA%D0%B5%D0%B4%D0%BE%D0%BD%D0%B8%D1%8F" TargetMode="External"/><Relationship Id="rId27" Type="http://schemas.openxmlformats.org/officeDocument/2006/relationships/hyperlink" Target="https://ru.wikipedia.org/wiki/%D0%A0%D1%83%D0%BC%D1%8B%D0%BD%D0%B8%D1%8F" TargetMode="External"/><Relationship Id="rId5" Type="http://schemas.openxmlformats.org/officeDocument/2006/relationships/hyperlink" Target="https://ru.wikipedia.org/wiki/%D0%91%D0%BE%D0%BB%D0%B3%D0%B0%D1%80%D0%B8%D1%8F" TargetMode="External"/><Relationship Id="rId6" Type="http://schemas.openxmlformats.org/officeDocument/2006/relationships/hyperlink" Target="https://ru.wikipedia.org/wiki/%D0%91%D0%BE%D1%81%D0%BD%D0%B8%D1%8F_%D0%B8_%D0%93%D0%B5%D1%80%D1%86%D0%B5%D0%B3%D0%BE%D0%B2%D0%B8%D0%BD%D0%B0" TargetMode="External"/><Relationship Id="rId29" Type="http://schemas.openxmlformats.org/officeDocument/2006/relationships/hyperlink" Target="https://ru.wikipedia.org/wiki/%D0%A1%D0%B5%D1%80%D0%B1%D0%B8%D1%8F" TargetMode="External"/><Relationship Id="rId7" Type="http://schemas.openxmlformats.org/officeDocument/2006/relationships/hyperlink" Target="https://ru.wikipedia.org/wiki/%D0%92%D0%B5%D0%BB%D0%B8%D0%BA%D0%BE%D0%B1%D1%80%D0%B8%D1%82%D0%B0%D0%BD%D0%B8%D1%8F" TargetMode="External"/><Relationship Id="rId8" Type="http://schemas.openxmlformats.org/officeDocument/2006/relationships/hyperlink" Target="https://ru.wikipedia.org/wiki/%D0%92%D0%B5%D0%BD%D0%B3%D1%80%D0%B8%D1%8F" TargetMode="External"/><Relationship Id="rId31" Type="http://schemas.openxmlformats.org/officeDocument/2006/relationships/hyperlink" Target="https://ru.wikipedia.org/wiki/%D0%A1%D0%BB%D0%BE%D0%B2%D0%B5%D0%BD%D0%B8%D1%8F" TargetMode="External"/><Relationship Id="rId30" Type="http://schemas.openxmlformats.org/officeDocument/2006/relationships/hyperlink" Target="https://ru.wikipedia.org/wiki/%D0%A1%D0%BB%D0%BE%D0%B2%D0%B0%D0%BA%D0%B8%D1%8F" TargetMode="External"/><Relationship Id="rId11" Type="http://schemas.openxmlformats.org/officeDocument/2006/relationships/hyperlink" Target="https://ru.wikipedia.org/wiki/%D0%93%D1%80%D1%83%D0%B7%D0%B8%D1%8F" TargetMode="External"/><Relationship Id="rId33" Type="http://schemas.openxmlformats.org/officeDocument/2006/relationships/hyperlink" Target="https://ru.wikipedia.org/wiki/%D0%A3%D0%BA%D1%80%D0%B0%D0%B8%D0%BD%D0%B0" TargetMode="External"/><Relationship Id="rId10" Type="http://schemas.openxmlformats.org/officeDocument/2006/relationships/hyperlink" Target="https://ru.wikipedia.org/wiki/%D0%93%D1%80%D0%B5%D1%86%D0%B8%D1%8F" TargetMode="External"/><Relationship Id="rId32" Type="http://schemas.openxmlformats.org/officeDocument/2006/relationships/hyperlink" Target="https://ru.wikipedia.org/wiki/%D0%A2%D1%83%D1%80%D1%86%D0%B8%D1%8F" TargetMode="External"/><Relationship Id="rId13" Type="http://schemas.openxmlformats.org/officeDocument/2006/relationships/hyperlink" Target="https://ru.wikipedia.org/wiki/%D0%98%D1%80%D0%BB%D0%B0%D0%BD%D0%B4%D0%B8%D1%8F" TargetMode="External"/><Relationship Id="rId35" Type="http://schemas.openxmlformats.org/officeDocument/2006/relationships/hyperlink" Target="https://ru.wikipedia.org/wiki/%D0%A4%D1%80%D0%B0%D0%BD%D1%86%D0%B8%D1%8F" TargetMode="External"/><Relationship Id="rId12" Type="http://schemas.openxmlformats.org/officeDocument/2006/relationships/hyperlink" Target="https://ru.wikipedia.org/wiki/%D0%94%D0%B0%D0%BD%D0%B8%D1%8F" TargetMode="External"/><Relationship Id="rId34" Type="http://schemas.openxmlformats.org/officeDocument/2006/relationships/hyperlink" Target="https://ru.wikipedia.org/wiki/%D0%A4%D0%B8%D0%BD%D0%BB%D1%8F%D0%BD%D0%B4%D0%B8%D1%8F" TargetMode="External"/><Relationship Id="rId15" Type="http://schemas.openxmlformats.org/officeDocument/2006/relationships/hyperlink" Target="https://ru.wikipedia.org/wiki/%D0%98%D1%81%D0%BF%D0%B0%D0%BD%D0%B8%D1%8F" TargetMode="External"/><Relationship Id="rId37" Type="http://schemas.openxmlformats.org/officeDocument/2006/relationships/hyperlink" Target="https://ru.wikipedia.org/wiki/%D0%A7%D0%B5%D1%80%D0%BD%D0%BE%D0%B3%D0%BE%D1%80%D0%B8%D1%8F" TargetMode="External"/><Relationship Id="rId14" Type="http://schemas.openxmlformats.org/officeDocument/2006/relationships/hyperlink" Target="https://ru.wikipedia.org/wiki/%D0%98%D1%81%D0%BB%D0%B0%D0%BD%D0%B4%D0%B8%D1%8F" TargetMode="External"/><Relationship Id="rId36" Type="http://schemas.openxmlformats.org/officeDocument/2006/relationships/hyperlink" Target="https://ru.wikipedia.org/wiki/%D0%A5%D0%BE%D1%80%D0%B2%D0%B0%D1%82%D0%B8%D1%8F" TargetMode="External"/><Relationship Id="rId17" Type="http://schemas.openxmlformats.org/officeDocument/2006/relationships/hyperlink" Target="https://ru.wikipedia.org/wiki/%D0%A0%D0%B5%D1%81%D0%BF%D1%83%D0%B1%D0%BB%D0%B8%D0%BA%D0%B0_%D0%9A%D0%B8%D0%BF%D1%80" TargetMode="External"/><Relationship Id="rId39" Type="http://schemas.openxmlformats.org/officeDocument/2006/relationships/hyperlink" Target="https://ru.wikipedia.org/wiki/%D0%A8%D0%B2%D0%B5%D0%B9%D1%86%D0%B0%D1%80%D0%B8%D1%8F" TargetMode="External"/><Relationship Id="rId16" Type="http://schemas.openxmlformats.org/officeDocument/2006/relationships/hyperlink" Target="https://ru.wikipedia.org/wiki/%D0%98%D1%82%D0%B0%D0%BB%D0%B8%D1%8F" TargetMode="External"/><Relationship Id="rId38" Type="http://schemas.openxmlformats.org/officeDocument/2006/relationships/hyperlink" Target="https://ru.wikipedia.org/wiki/%D0%A7%D0%B5%D1%85%D0%B8%D1%8F" TargetMode="External"/><Relationship Id="rId19" Type="http://schemas.openxmlformats.org/officeDocument/2006/relationships/hyperlink" Target="https://ru.wikipedia.org/wiki/%D0%9B%D0%B8%D1%82%D0%B2%D0%B0" TargetMode="External"/><Relationship Id="rId18" Type="http://schemas.openxmlformats.org/officeDocument/2006/relationships/hyperlink" Target="https://ru.wikipedia.org/wiki/%D0%9B%D0%B0%D1%82%D0%B2%D0%B8%D1%8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5.75"/>
    <col customWidth="1" min="3" max="3" width="27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D2" s="1">
        <v>1900.0</v>
      </c>
      <c r="E2" s="1">
        <v>1.0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>
        <f t="shared" ref="B3:B46" si="1">RANDBETWEEN(1000,100000)</f>
        <v>41296</v>
      </c>
      <c r="C3" s="4">
        <f>IFERROR(__xludf.DUMMYFUNCTION("B3*GOOGLEFINANCE(""NASDAQ:AMZN"", ""price"")"),9585214.56)</f>
        <v>9585214.56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5</v>
      </c>
      <c r="B4" s="3">
        <f t="shared" si="1"/>
        <v>96202</v>
      </c>
      <c r="C4" s="4">
        <f>IFERROR(__xludf.DUMMYFUNCTION("B4*GOOGLEFINANCE(""NASDAQ:AMZN"", ""price"")"),2.2329446220000003E7)</f>
        <v>22329446.22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6</v>
      </c>
      <c r="B5" s="3">
        <f t="shared" si="1"/>
        <v>98493</v>
      </c>
      <c r="C5" s="4">
        <f>IFERROR(__xludf.DUMMYFUNCTION("B5*GOOGLEFINANCE(""NASDAQ:AMZN"", ""price"")"),2.286121023E7)</f>
        <v>22861210.23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7</v>
      </c>
      <c r="B6" s="3">
        <f t="shared" si="1"/>
        <v>24478</v>
      </c>
      <c r="C6" s="4">
        <f>IFERROR(__xludf.DUMMYFUNCTION("B6*GOOGLEFINANCE(""NASDAQ:AMZN"", ""price"")"),5681588.58)</f>
        <v>5681588.58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8</v>
      </c>
      <c r="B7" s="3">
        <f t="shared" si="1"/>
        <v>13843</v>
      </c>
      <c r="C7" s="4">
        <f>IFERROR(__xludf.DUMMYFUNCTION("B7*GOOGLEFINANCE(""NASDAQ:AMZN"", ""price"")"),3213098.73)</f>
        <v>3213098.73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9</v>
      </c>
      <c r="B8" s="3">
        <f t="shared" si="1"/>
        <v>55049</v>
      </c>
      <c r="C8" s="4">
        <f>IFERROR(__xludf.DUMMYFUNCTION("B8*GOOGLEFINANCE(""NASDAQ:AMZN"", ""price"")"),1.277742339E7)</f>
        <v>12777423.39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22</v>
      </c>
      <c r="B9" s="3">
        <f t="shared" si="1"/>
        <v>32567</v>
      </c>
      <c r="C9" s="4">
        <f>IFERROR(__xludf.DUMMYFUNCTION("B9*GOOGLEFINANCE(""NASDAQ:AMZN"", ""price"")"),7559126.37)</f>
        <v>7559126.37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25</v>
      </c>
      <c r="B10" s="3">
        <f t="shared" si="1"/>
        <v>26319</v>
      </c>
      <c r="C10" s="4">
        <f>IFERROR(__xludf.DUMMYFUNCTION("B10*GOOGLEFINANCE(""NASDAQ:AMZN"", ""price"")"),6108903.090000001)</f>
        <v>6108903.09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26</v>
      </c>
      <c r="B11" s="3">
        <f t="shared" si="1"/>
        <v>6727</v>
      </c>
      <c r="C11" s="4">
        <f>IFERROR(__xludf.DUMMYFUNCTION("B11*GOOGLEFINANCE(""NASDAQ:AMZN"", ""price"")"),1561403.9700000002)</f>
        <v>1561403.97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28</v>
      </c>
      <c r="B12" s="3">
        <f t="shared" si="1"/>
        <v>8068</v>
      </c>
      <c r="C12" s="4">
        <f>IFERROR(__xludf.DUMMYFUNCTION("B12*GOOGLEFINANCE(""NASDAQ:AMZN"", ""price"")"),1872663.4800000002)</f>
        <v>1872663.48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29</v>
      </c>
      <c r="B13" s="3">
        <f t="shared" si="1"/>
        <v>95176</v>
      </c>
      <c r="C13" s="4">
        <f>IFERROR(__xludf.DUMMYFUNCTION("B13*GOOGLEFINANCE(""NASDAQ:AMZN"", ""price"")"),2.2091301360000003E7)</f>
        <v>22091301.36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31</v>
      </c>
      <c r="B14" s="3">
        <f t="shared" si="1"/>
        <v>19492</v>
      </c>
      <c r="C14" s="4">
        <f>IFERROR(__xludf.DUMMYFUNCTION("B14*GOOGLEFINANCE(""NASDAQ:AMZN"", ""price"")"),4524288.12)</f>
        <v>4524288.12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32</v>
      </c>
      <c r="B15" s="3">
        <f t="shared" si="1"/>
        <v>54690</v>
      </c>
      <c r="C15" s="4">
        <f>IFERROR(__xludf.DUMMYFUNCTION("B15*GOOGLEFINANCE(""NASDAQ:AMZN"", ""price"")"),1.26940959E7)</f>
        <v>12694095.9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34</v>
      </c>
      <c r="B16" s="3">
        <f t="shared" si="1"/>
        <v>35932</v>
      </c>
      <c r="C16" s="4">
        <f>IFERROR(__xludf.DUMMYFUNCTION("B16*GOOGLEFINANCE(""NASDAQ:AMZN"", ""price"")"),8340176.5200000005)</f>
        <v>8340176.52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36</v>
      </c>
      <c r="B17" s="3">
        <f t="shared" si="1"/>
        <v>48070</v>
      </c>
      <c r="C17" s="4">
        <f>IFERROR(__xludf.DUMMYFUNCTION("B17*GOOGLEFINANCE(""NASDAQ:AMZN"", ""price"")"),1.1157527700000001E7)</f>
        <v>11157527.7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37</v>
      </c>
      <c r="B18" s="3">
        <f t="shared" si="1"/>
        <v>24791</v>
      </c>
      <c r="C18" s="4">
        <f>IFERROR(__xludf.DUMMYFUNCTION("B18*GOOGLEFINANCE(""NASDAQ:AMZN"", ""price"")"),5754239.010000001)</f>
        <v>5754239.01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39</v>
      </c>
      <c r="B19" s="3">
        <f t="shared" si="1"/>
        <v>50871</v>
      </c>
      <c r="C19" s="4">
        <f>IFERROR(__xludf.DUMMYFUNCTION("B19*GOOGLEFINANCE(""NASDAQ:AMZN"", ""price"")"),1.180766781E7)</f>
        <v>11807667.81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41</v>
      </c>
      <c r="B20" s="3">
        <f t="shared" si="1"/>
        <v>14924</v>
      </c>
      <c r="C20" s="4">
        <f>IFERROR(__xludf.DUMMYFUNCTION("B20*GOOGLEFINANCE(""NASDAQ:AMZN"", ""price"")"),3464009.64)</f>
        <v>3464009.64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42</v>
      </c>
      <c r="B21" s="3">
        <f t="shared" si="1"/>
        <v>96641</v>
      </c>
      <c r="C21" s="4">
        <f>IFERROR(__xludf.DUMMYFUNCTION("B21*GOOGLEFINANCE(""NASDAQ:AMZN"", ""price"")"),2.243134251E7)</f>
        <v>22431342.51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44</v>
      </c>
      <c r="B22" s="3">
        <f t="shared" si="1"/>
        <v>77457</v>
      </c>
      <c r="C22" s="4">
        <f>IFERROR(__xludf.DUMMYFUNCTION("B22*GOOGLEFINANCE(""NASDAQ:AMZN"", ""price"")"),1.797854427E7)</f>
        <v>17978544.27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46</v>
      </c>
      <c r="B23" s="3">
        <f t="shared" si="1"/>
        <v>3948</v>
      </c>
      <c r="C23" s="4">
        <f>IFERROR(__xludf.DUMMYFUNCTION("B23*GOOGLEFINANCE(""NASDAQ:AMZN"", ""price"")"),916370.28)</f>
        <v>916370.28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47</v>
      </c>
      <c r="B24" s="3">
        <f t="shared" si="1"/>
        <v>87466</v>
      </c>
      <c r="C24" s="4">
        <f>IFERROR(__xludf.DUMMYFUNCTION("B24*GOOGLEFINANCE(""NASDAQ:AMZN"", ""price"")"),2.030173326E7)</f>
        <v>20301733.26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49</v>
      </c>
      <c r="B25" s="3">
        <f t="shared" si="1"/>
        <v>37770</v>
      </c>
      <c r="C25" s="4">
        <f>IFERROR(__xludf.DUMMYFUNCTION("B25*GOOGLEFINANCE(""NASDAQ:AMZN"", ""price"")"),8766794.700000001)</f>
        <v>8766794.7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51</v>
      </c>
      <c r="B26" s="3">
        <f t="shared" si="1"/>
        <v>33052</v>
      </c>
      <c r="C26" s="4">
        <f>IFERROR(__xludf.DUMMYFUNCTION("B26*GOOGLEFINANCE(""NASDAQ:AMZN"", ""price"")"),7671699.720000001)</f>
        <v>7671699.72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52</v>
      </c>
      <c r="B27" s="3">
        <f t="shared" si="1"/>
        <v>14995</v>
      </c>
      <c r="C27" s="4">
        <f>IFERROR(__xludf.DUMMYFUNCTION("B27*GOOGLEFINANCE(""NASDAQ:AMZN"", ""price"")"),3480489.45)</f>
        <v>3480489.45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54</v>
      </c>
      <c r="B28" s="3">
        <f t="shared" si="1"/>
        <v>78636</v>
      </c>
      <c r="C28" s="4">
        <f>IFERROR(__xludf.DUMMYFUNCTION("B28*GOOGLEFINANCE(""NASDAQ:AMZN"", ""price"")"),1.825220196E7)</f>
        <v>18252201.96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56</v>
      </c>
      <c r="B29" s="3">
        <f t="shared" si="1"/>
        <v>32930</v>
      </c>
      <c r="C29" s="4">
        <f>IFERROR(__xludf.DUMMYFUNCTION("B29*GOOGLEFINANCE(""NASDAQ:AMZN"", ""price"")"),7643382.300000001)</f>
        <v>7643382.3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57</v>
      </c>
      <c r="B30" s="3">
        <f t="shared" si="1"/>
        <v>63887</v>
      </c>
      <c r="C30" s="4">
        <f>IFERROR(__xludf.DUMMYFUNCTION("B30*GOOGLEFINANCE(""NASDAQ:AMZN"", ""price"")"),1.482881157E7)</f>
        <v>14828811.57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58</v>
      </c>
      <c r="B31" s="3">
        <f t="shared" si="1"/>
        <v>69801</v>
      </c>
      <c r="C31" s="4">
        <f>IFERROR(__xludf.DUMMYFUNCTION("B31*GOOGLEFINANCE(""NASDAQ:AMZN"", ""price"")"),1.6201510110000001E7)</f>
        <v>16201510.11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59</v>
      </c>
      <c r="B32" s="3">
        <f t="shared" si="1"/>
        <v>28821</v>
      </c>
      <c r="C32" s="4">
        <f>IFERROR(__xludf.DUMMYFUNCTION("B32*GOOGLEFINANCE(""NASDAQ:AMZN"", ""price"")"),6689642.3100000005)</f>
        <v>6689642.31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89</v>
      </c>
      <c r="B33" s="3">
        <f t="shared" si="1"/>
        <v>1768</v>
      </c>
      <c r="C33" s="4">
        <f>IFERROR(__xludf.DUMMYFUNCTION("B33*GOOGLEFINANCE(""NASDAQ:AMZN"", ""price"")"),410370.48000000004)</f>
        <v>410370.48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90</v>
      </c>
      <c r="B34" s="3">
        <f t="shared" si="1"/>
        <v>43596</v>
      </c>
      <c r="C34" s="4">
        <f>IFERROR(__xludf.DUMMYFUNCTION("B34*GOOGLEFINANCE(""NASDAQ:AMZN"", ""price"")"),1.011906756E7)</f>
        <v>10119067.56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91</v>
      </c>
      <c r="B35" s="3">
        <f t="shared" si="1"/>
        <v>5060</v>
      </c>
      <c r="C35" s="4">
        <f>IFERROR(__xludf.DUMMYFUNCTION("B35*GOOGLEFINANCE(""NASDAQ:AMZN"", ""price"")"),1174476.6)</f>
        <v>1174476.6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92</v>
      </c>
      <c r="B36" s="3">
        <f t="shared" si="1"/>
        <v>62360</v>
      </c>
      <c r="C36" s="4">
        <f>IFERROR(__xludf.DUMMYFUNCTION("B36*GOOGLEFINANCE(""NASDAQ:AMZN"", ""price"")"),1.4474379600000001E7)</f>
        <v>14474379.6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93</v>
      </c>
      <c r="B37" s="3">
        <f t="shared" si="1"/>
        <v>62233</v>
      </c>
      <c r="C37" s="4">
        <f>IFERROR(__xludf.DUMMYFUNCTION("B37*GOOGLEFINANCE(""NASDAQ:AMZN"", ""price"")"),1.444490163E7)</f>
        <v>14444901.63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94</v>
      </c>
      <c r="B38" s="3">
        <f t="shared" si="1"/>
        <v>19698</v>
      </c>
      <c r="C38" s="4">
        <f>IFERROR(__xludf.DUMMYFUNCTION("B38*GOOGLEFINANCE(""NASDAQ:AMZN"", ""price"")"),4572102.78)</f>
        <v>4572102.78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95</v>
      </c>
      <c r="B39" s="3">
        <f t="shared" si="1"/>
        <v>37473</v>
      </c>
      <c r="C39" s="4">
        <f>IFERROR(__xludf.DUMMYFUNCTION("B39*GOOGLEFINANCE(""NASDAQ:AMZN"", ""price"")"),8697858.030000001)</f>
        <v>8697858.03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96</v>
      </c>
      <c r="B40" s="3">
        <f t="shared" si="1"/>
        <v>89543</v>
      </c>
      <c r="C40" s="4">
        <f>IFERROR(__xludf.DUMMYFUNCTION("B40*GOOGLEFINANCE(""NASDAQ:AMZN"", ""price"")"),2.078382573E7)</f>
        <v>20783825.73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97</v>
      </c>
      <c r="B41" s="3">
        <f t="shared" si="1"/>
        <v>88544</v>
      </c>
      <c r="C41" s="4">
        <f>IFERROR(__xludf.DUMMYFUNCTION("B41*GOOGLEFINANCE(""NASDAQ:AMZN"", ""price"")"),2.055194784E7)</f>
        <v>20551947.84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98</v>
      </c>
      <c r="B42" s="3">
        <f t="shared" si="1"/>
        <v>96446</v>
      </c>
      <c r="C42" s="4">
        <f>IFERROR(__xludf.DUMMYFUNCTION("B42*GOOGLEFINANCE(""NASDAQ:AMZN"", ""price"")"),2.2386081060000002E7)</f>
        <v>22386081.06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99</v>
      </c>
      <c r="B43" s="3">
        <f t="shared" si="1"/>
        <v>63441</v>
      </c>
      <c r="C43" s="4">
        <f>IFERROR(__xludf.DUMMYFUNCTION("B43*GOOGLEFINANCE(""NASDAQ:AMZN"", ""price"")"),1.4725290510000002E7)</f>
        <v>14725290.51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100</v>
      </c>
      <c r="B44" s="3">
        <f t="shared" si="1"/>
        <v>28532</v>
      </c>
      <c r="C44" s="4">
        <f>IFERROR(__xludf.DUMMYFUNCTION("B44*GOOGLEFINANCE(""NASDAQ:AMZN"", ""price"")"),6622562.5200000005)</f>
        <v>6622562.52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101</v>
      </c>
      <c r="B45" s="3">
        <f t="shared" si="1"/>
        <v>39030</v>
      </c>
      <c r="C45" s="4">
        <f>IFERROR(__xludf.DUMMYFUNCTION("B45*GOOGLEFINANCE(""NASDAQ:AMZN"", ""price"")"),9059253.3)</f>
        <v>9059253.3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102</v>
      </c>
      <c r="B46" s="3">
        <f t="shared" si="1"/>
        <v>53966</v>
      </c>
      <c r="C46" s="4">
        <f>IFERROR(__xludf.DUMMYFUNCTION("B46*GOOGLEFINANCE(""NASDAQ:AMZN"", ""price"")"),1.2526048260000002E7)</f>
        <v>12526048.26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4">
    <mergeCell ref="A1:A2"/>
    <mergeCell ref="B1:B2"/>
    <mergeCell ref="C1:C2"/>
    <mergeCell ref="D1:F1"/>
  </mergeCells>
  <conditionalFormatting sqref="A1:Z2">
    <cfRule type="notContainsBlanks" dxfId="8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9.88"/>
    <col customWidth="1" min="3" max="3" width="12.75"/>
    <col customWidth="1" min="4" max="4" width="10.88"/>
    <col customWidth="1" min="5" max="5" width="9.13"/>
    <col customWidth="1" min="6" max="6" width="12.75"/>
    <col customWidth="1" min="7" max="7" width="10.88"/>
    <col customWidth="1" min="8" max="8" width="9.13"/>
    <col customWidth="1" min="9" max="9" width="12.75"/>
    <col customWidth="1" min="10" max="10" width="10.88"/>
    <col customWidth="1" min="11" max="11" width="9.13"/>
    <col customWidth="1" min="12" max="12" width="12.75"/>
    <col customWidth="1" min="13" max="13" width="10.88"/>
    <col customWidth="1" min="14" max="14" width="9.13"/>
    <col customWidth="1" min="15" max="15" width="12.75"/>
    <col customWidth="1" min="16" max="16" width="10.88"/>
    <col customWidth="1" min="17" max="17" width="9.13"/>
    <col customWidth="1" min="18" max="18" width="12.75"/>
    <col customWidth="1" min="19" max="19" width="10.88"/>
    <col customWidth="1" min="20" max="20" width="9.13"/>
    <col customWidth="1" min="21" max="21" width="12.75"/>
    <col customWidth="1" min="22" max="22" width="10.88"/>
    <col customWidth="1" min="23" max="23" width="9.13"/>
    <col customWidth="1" min="24" max="24" width="12.75"/>
    <col customWidth="1" min="25" max="25" width="10.88"/>
    <col customWidth="1" min="26" max="26" width="9.13"/>
    <col customWidth="1" min="27" max="27" width="12.75"/>
    <col customWidth="1" min="28" max="28" width="10.88"/>
    <col customWidth="1" min="29" max="29" width="9.13"/>
    <col customWidth="1" min="30" max="30" width="12.75"/>
    <col customWidth="1" min="31" max="31" width="10.88"/>
    <col customWidth="1" min="32" max="32" width="9.13"/>
    <col customWidth="1" min="33" max="33" width="12.75"/>
    <col customWidth="1" min="34" max="34" width="10.88"/>
    <col customWidth="1" min="35" max="35" width="9.13"/>
    <col customWidth="1" min="36" max="36" width="12.75"/>
    <col customWidth="1" min="37" max="37" width="10.88"/>
    <col customWidth="1" min="38" max="38" width="9.13"/>
    <col customWidth="1" min="39" max="39" width="12.75"/>
    <col customWidth="1" min="40" max="40" width="10.88"/>
    <col customWidth="1" min="41" max="41" width="9.13"/>
    <col customWidth="1" min="42" max="42" width="12.75"/>
    <col customWidth="1" min="43" max="43" width="10.88"/>
    <col customWidth="1" min="44" max="44" width="9.13"/>
    <col customWidth="1" min="45" max="45" width="13.5"/>
    <col customWidth="1" min="46" max="46" width="19.88"/>
    <col customWidth="1" min="47" max="47" width="15.38"/>
    <col customWidth="1" min="48" max="48" width="15.75"/>
    <col customWidth="1" min="49" max="49" width="16.63"/>
    <col customWidth="1" min="52" max="52" width="11.63"/>
  </cols>
  <sheetData>
    <row r="1">
      <c r="A1" s="28" t="s">
        <v>60</v>
      </c>
      <c r="B1" s="29" t="s">
        <v>154</v>
      </c>
      <c r="C1" s="30">
        <v>2010.0</v>
      </c>
      <c r="F1" s="31">
        <v>2011.0</v>
      </c>
      <c r="I1" s="31">
        <v>2012.0</v>
      </c>
      <c r="L1" s="31">
        <v>2013.0</v>
      </c>
      <c r="O1" s="31">
        <v>2014.0</v>
      </c>
      <c r="R1" s="31">
        <v>2015.0</v>
      </c>
      <c r="U1" s="31">
        <v>2016.0</v>
      </c>
      <c r="X1" s="31">
        <v>2017.0</v>
      </c>
      <c r="AA1" s="31">
        <v>2018.0</v>
      </c>
      <c r="AD1" s="31">
        <v>2019.0</v>
      </c>
      <c r="AG1" s="31">
        <v>2020.0</v>
      </c>
      <c r="AJ1" s="31">
        <v>2021.0</v>
      </c>
      <c r="AM1" s="31">
        <v>2022.0</v>
      </c>
      <c r="AP1" s="31">
        <v>2023.0</v>
      </c>
      <c r="AS1" s="32" t="s">
        <v>106</v>
      </c>
      <c r="AU1" s="33" t="s">
        <v>155</v>
      </c>
      <c r="AW1" s="32" t="s">
        <v>156</v>
      </c>
      <c r="AZ1" s="32" t="s">
        <v>157</v>
      </c>
      <c r="BC1" s="34"/>
      <c r="BD1" s="34"/>
      <c r="BE1" s="34"/>
      <c r="BF1" s="34"/>
      <c r="BG1" s="34"/>
    </row>
    <row r="2">
      <c r="A2" s="35"/>
      <c r="B2" s="35"/>
      <c r="C2" s="30" t="s">
        <v>158</v>
      </c>
      <c r="D2" s="31" t="s">
        <v>159</v>
      </c>
      <c r="E2" s="31" t="s">
        <v>160</v>
      </c>
      <c r="F2" s="30" t="s">
        <v>158</v>
      </c>
      <c r="G2" s="31" t="s">
        <v>159</v>
      </c>
      <c r="H2" s="31" t="s">
        <v>160</v>
      </c>
      <c r="I2" s="36" t="s">
        <v>158</v>
      </c>
      <c r="J2" s="37" t="s">
        <v>159</v>
      </c>
      <c r="K2" s="37" t="s">
        <v>160</v>
      </c>
      <c r="L2" s="36" t="s">
        <v>158</v>
      </c>
      <c r="M2" s="37" t="s">
        <v>159</v>
      </c>
      <c r="N2" s="37" t="s">
        <v>160</v>
      </c>
      <c r="O2" s="36" t="s">
        <v>158</v>
      </c>
      <c r="P2" s="37" t="s">
        <v>159</v>
      </c>
      <c r="Q2" s="37" t="s">
        <v>160</v>
      </c>
      <c r="R2" s="36" t="s">
        <v>158</v>
      </c>
      <c r="S2" s="37" t="s">
        <v>159</v>
      </c>
      <c r="T2" s="37" t="s">
        <v>160</v>
      </c>
      <c r="U2" s="36" t="s">
        <v>158</v>
      </c>
      <c r="V2" s="37" t="s">
        <v>159</v>
      </c>
      <c r="W2" s="37" t="s">
        <v>160</v>
      </c>
      <c r="X2" s="36" t="s">
        <v>158</v>
      </c>
      <c r="Y2" s="37" t="s">
        <v>159</v>
      </c>
      <c r="Z2" s="37" t="s">
        <v>160</v>
      </c>
      <c r="AA2" s="36" t="s">
        <v>158</v>
      </c>
      <c r="AB2" s="37" t="s">
        <v>159</v>
      </c>
      <c r="AC2" s="37" t="s">
        <v>160</v>
      </c>
      <c r="AD2" s="36" t="s">
        <v>158</v>
      </c>
      <c r="AE2" s="37" t="s">
        <v>159</v>
      </c>
      <c r="AF2" s="37" t="s">
        <v>160</v>
      </c>
      <c r="AG2" s="36" t="s">
        <v>158</v>
      </c>
      <c r="AH2" s="37" t="s">
        <v>159</v>
      </c>
      <c r="AI2" s="37" t="s">
        <v>160</v>
      </c>
      <c r="AJ2" s="36" t="s">
        <v>158</v>
      </c>
      <c r="AK2" s="37" t="s">
        <v>159</v>
      </c>
      <c r="AL2" s="37" t="s">
        <v>160</v>
      </c>
      <c r="AM2" s="36" t="s">
        <v>158</v>
      </c>
      <c r="AN2" s="37" t="s">
        <v>159</v>
      </c>
      <c r="AO2" s="37" t="s">
        <v>160</v>
      </c>
      <c r="AP2" s="36" t="s">
        <v>158</v>
      </c>
      <c r="AQ2" s="37" t="s">
        <v>159</v>
      </c>
      <c r="AR2" s="37" t="s">
        <v>160</v>
      </c>
      <c r="AS2" s="36" t="s">
        <v>158</v>
      </c>
      <c r="AT2" s="37" t="s">
        <v>160</v>
      </c>
      <c r="AU2" s="38" t="s">
        <v>158</v>
      </c>
      <c r="AV2" s="37" t="s">
        <v>160</v>
      </c>
      <c r="AW2" s="36" t="s">
        <v>158</v>
      </c>
      <c r="AX2" s="37" t="s">
        <v>159</v>
      </c>
      <c r="AY2" s="37" t="s">
        <v>160</v>
      </c>
      <c r="AZ2" s="36" t="s">
        <v>158</v>
      </c>
      <c r="BA2" s="37" t="s">
        <v>159</v>
      </c>
      <c r="BB2" s="37" t="s">
        <v>160</v>
      </c>
      <c r="BC2" s="34"/>
      <c r="BD2" s="34"/>
      <c r="BE2" s="34"/>
      <c r="BF2" s="34"/>
      <c r="BG2" s="34"/>
    </row>
    <row r="3">
      <c r="A3" s="39">
        <v>1.0</v>
      </c>
      <c r="B3" s="40" t="s">
        <v>161</v>
      </c>
      <c r="C3" s="41">
        <f t="shared" ref="C3:C43" si="3">RANDBETWEEN(0,2000000000)</f>
        <v>802792678</v>
      </c>
      <c r="D3" s="42">
        <f t="shared" ref="D3:D43" si="4">RANDBETWEEN(1000000,50000000)</f>
        <v>8552321</v>
      </c>
      <c r="E3" s="43">
        <f t="shared" ref="E3:E43" si="5">C3/D3</f>
        <v>93.86839877</v>
      </c>
      <c r="F3" s="41">
        <f t="shared" ref="F3:F43" si="6">RANDBETWEEN(0,2000000000)</f>
        <v>576890729</v>
      </c>
      <c r="G3" s="42">
        <f t="shared" ref="G3:G43" si="7">RANDBETWEEN(1000000,50000000)</f>
        <v>7456949</v>
      </c>
      <c r="H3" s="43">
        <f t="shared" ref="H3:H43" si="8">F3/G3</f>
        <v>77.36283687</v>
      </c>
      <c r="I3" s="44">
        <f t="shared" ref="I3:I43" si="9">RANDBETWEEN(0,2000000000)</f>
        <v>1235077758</v>
      </c>
      <c r="J3" s="45">
        <f t="shared" ref="J3:J43" si="10">RANDBETWEEN(1000000,50000000)</f>
        <v>47455685</v>
      </c>
      <c r="K3" s="46">
        <f t="shared" ref="K3:K43" si="11">I3/J3</f>
        <v>26.02591782</v>
      </c>
      <c r="L3" s="44">
        <f t="shared" ref="L3:L43" si="12">RANDBETWEEN(0,2000000000)</f>
        <v>642351934</v>
      </c>
      <c r="M3" s="45">
        <f t="shared" ref="M3:M43" si="13">RANDBETWEEN(1000000,50000000)</f>
        <v>17565758</v>
      </c>
      <c r="N3" s="46">
        <f t="shared" ref="N3:N43" si="14">L3/M3</f>
        <v>36.56841532</v>
      </c>
      <c r="O3" s="44">
        <f t="shared" ref="O3:O43" si="15">RANDBETWEEN(0,2000000000)</f>
        <v>1705862339</v>
      </c>
      <c r="P3" s="45">
        <f t="shared" ref="P3:P43" si="16">RANDBETWEEN(1000000,50000000)</f>
        <v>23555381</v>
      </c>
      <c r="Q3" s="46">
        <f t="shared" ref="Q3:Q43" si="17">O3/P3</f>
        <v>72.41922086</v>
      </c>
      <c r="R3" s="44">
        <f t="shared" ref="R3:R43" si="18">RANDBETWEEN(0,2000000000)</f>
        <v>1459891846</v>
      </c>
      <c r="S3" s="45">
        <f t="shared" ref="S3:S43" si="19">RANDBETWEEN(1000000,50000000)</f>
        <v>23855852</v>
      </c>
      <c r="T3" s="46">
        <f t="shared" ref="T3:T43" si="20">R3/S3</f>
        <v>61.19638259</v>
      </c>
      <c r="U3" s="44">
        <f t="shared" ref="U3:U43" si="21">RANDBETWEEN(0,2000000000)</f>
        <v>697767559</v>
      </c>
      <c r="V3" s="45">
        <f t="shared" ref="V3:V43" si="22">RANDBETWEEN(1000000,50000000)</f>
        <v>27446475</v>
      </c>
      <c r="W3" s="46">
        <f t="shared" ref="W3:W43" si="23">U3/V3</f>
        <v>25.42284789</v>
      </c>
      <c r="X3" s="44">
        <f t="shared" ref="X3:X43" si="24">RANDBETWEEN(0,2000000000)</f>
        <v>1383675391</v>
      </c>
      <c r="Y3" s="45">
        <f t="shared" ref="Y3:Y43" si="25">RANDBETWEEN(1000000,50000000)</f>
        <v>15771814</v>
      </c>
      <c r="Z3" s="46">
        <f t="shared" ref="Z3:Z43" si="26">X3/Y3</f>
        <v>87.73089709</v>
      </c>
      <c r="AA3" s="44">
        <f t="shared" ref="AA3:AA43" si="27">RANDBETWEEN(0,2000000000)</f>
        <v>525636835</v>
      </c>
      <c r="AB3" s="45">
        <f t="shared" ref="AB3:AB43" si="28">RANDBETWEEN(1000000,50000000)</f>
        <v>23592931</v>
      </c>
      <c r="AC3" s="46">
        <f t="shared" ref="AC3:AC43" si="29">AA3/AB3</f>
        <v>22.27942069</v>
      </c>
      <c r="AD3" s="44">
        <f t="shared" ref="AD3:AD43" si="30">RANDBETWEEN(0,2000000000)</f>
        <v>1381007722</v>
      </c>
      <c r="AE3" s="45">
        <f t="shared" ref="AE3:AE43" si="31">RANDBETWEEN(1000000,50000000)</f>
        <v>45949124</v>
      </c>
      <c r="AF3" s="46">
        <f t="shared" ref="AF3:AF43" si="32">AD3/AE3</f>
        <v>30.05514799</v>
      </c>
      <c r="AG3" s="44">
        <f t="shared" ref="AG3:AG43" si="33">RANDBETWEEN(0,2000000000)</f>
        <v>401295996</v>
      </c>
      <c r="AH3" s="45">
        <f t="shared" ref="AH3:AH43" si="34">RANDBETWEEN(1000000,50000000)</f>
        <v>47721065</v>
      </c>
      <c r="AI3" s="46">
        <f t="shared" ref="AI3:AI43" si="35">AG3/AH3</f>
        <v>8.40920034</v>
      </c>
      <c r="AJ3" s="44">
        <f t="shared" ref="AJ3:AJ43" si="36">RANDBETWEEN(0,2000000000)</f>
        <v>1213638379</v>
      </c>
      <c r="AK3" s="45">
        <f t="shared" ref="AK3:AK43" si="37">RANDBETWEEN(1000000,50000000)</f>
        <v>14824452</v>
      </c>
      <c r="AL3" s="46">
        <f t="shared" ref="AL3:AL43" si="38">AJ3/AK3</f>
        <v>81.86733506</v>
      </c>
      <c r="AM3" s="44">
        <f t="shared" ref="AM3:AM43" si="39">RANDBETWEEN(0,2000000000)</f>
        <v>1097933135</v>
      </c>
      <c r="AN3" s="45">
        <f t="shared" ref="AN3:AN43" si="40">RANDBETWEEN(1000000,50000000)</f>
        <v>7838198</v>
      </c>
      <c r="AO3" s="46">
        <f t="shared" ref="AO3:AO43" si="41">AM3/AN3</f>
        <v>140.0746874</v>
      </c>
      <c r="AP3" s="44">
        <f t="shared" ref="AP3:AP43" si="42">RANDBETWEEN(0,2000000000)</f>
        <v>1173671132</v>
      </c>
      <c r="AQ3" s="45">
        <f t="shared" ref="AQ3:AQ43" si="43">RANDBETWEEN(1000000,50000000)</f>
        <v>19973523</v>
      </c>
      <c r="AR3" s="46">
        <f t="shared" ref="AR3:AR43" si="44">AP3/AQ3</f>
        <v>58.76134781</v>
      </c>
      <c r="AS3" s="47">
        <f t="shared" ref="AS3:AS43" si="45">SUM(C3,F3,I3,L3,O3,R3,U3,X3,AA3,AD3,AG3,AJ3,AM3,AP3)</f>
        <v>14297493433</v>
      </c>
      <c r="AT3" s="48">
        <f t="shared" ref="AT3:AT43" si="46">SUM(E3,H3,K3,O3,T3,W3,Z3,AC3,AF3,AI3,AL3,AO3,AR3)</f>
        <v>1705863052</v>
      </c>
      <c r="AU3" s="47">
        <f t="shared" ref="AU3:AU43" si="47">ROUNDUP(AVERAGE(C3,F3,I3,L3,O3,R3,U3,X3,AA3,AD3,AG3,AJ3,AM3,AP3),0)</f>
        <v>1021249531</v>
      </c>
      <c r="AV3" s="49">
        <f t="shared" ref="AV3:AV43" si="48">AVERAGE(E3,H3,K3,O3,T3,W3,Z3,AC3,AF3,AI3,AL3,AO3,AR3)</f>
        <v>131220234.8</v>
      </c>
      <c r="AW3" s="47">
        <f t="shared" ref="AW3:AY3" si="1">MIN(C3,F3,I3,L3,O3,R3,U3,X3,AA3,AD3,AG3,AJ3,AM3,AP3)</f>
        <v>401295996</v>
      </c>
      <c r="AX3" s="50">
        <f t="shared" si="1"/>
        <v>7456949</v>
      </c>
      <c r="AY3" s="51">
        <f t="shared" si="1"/>
        <v>8.40920034</v>
      </c>
      <c r="AZ3" s="47">
        <f t="shared" ref="AZ3:BB3" si="2">MAX(C3,F3,I3,L3,O3,R3,U3,X3,AA3,AD3,AG3,AJ3,AM3,AP3)</f>
        <v>1705862339</v>
      </c>
      <c r="BA3" s="50">
        <f t="shared" si="2"/>
        <v>47721065</v>
      </c>
      <c r="BB3" s="48">
        <f t="shared" si="2"/>
        <v>140.0746874</v>
      </c>
      <c r="BC3" s="52"/>
      <c r="BD3" s="52"/>
      <c r="BE3" s="52"/>
      <c r="BF3" s="52"/>
      <c r="BG3" s="52"/>
    </row>
    <row r="4">
      <c r="A4" s="39">
        <v>3.0</v>
      </c>
      <c r="B4" s="40" t="s">
        <v>162</v>
      </c>
      <c r="C4" s="41">
        <f t="shared" si="3"/>
        <v>863840658</v>
      </c>
      <c r="D4" s="42">
        <f t="shared" si="4"/>
        <v>38407324</v>
      </c>
      <c r="E4" s="43">
        <f t="shared" si="5"/>
        <v>22.49156067</v>
      </c>
      <c r="F4" s="41">
        <f t="shared" si="6"/>
        <v>159224754</v>
      </c>
      <c r="G4" s="42">
        <f t="shared" si="7"/>
        <v>26603884</v>
      </c>
      <c r="H4" s="43">
        <f t="shared" si="8"/>
        <v>5.985019105</v>
      </c>
      <c r="I4" s="44">
        <f t="shared" si="9"/>
        <v>1437436928</v>
      </c>
      <c r="J4" s="45">
        <f t="shared" si="10"/>
        <v>49952569</v>
      </c>
      <c r="K4" s="46">
        <f t="shared" si="11"/>
        <v>28.77603608</v>
      </c>
      <c r="L4" s="44">
        <f t="shared" si="12"/>
        <v>780447805</v>
      </c>
      <c r="M4" s="45">
        <f t="shared" si="13"/>
        <v>17170600</v>
      </c>
      <c r="N4" s="46">
        <f t="shared" si="14"/>
        <v>45.45256456</v>
      </c>
      <c r="O4" s="44">
        <f t="shared" si="15"/>
        <v>1074759794</v>
      </c>
      <c r="P4" s="45">
        <f t="shared" si="16"/>
        <v>47634072</v>
      </c>
      <c r="Q4" s="46">
        <f t="shared" si="17"/>
        <v>22.56283683</v>
      </c>
      <c r="R4" s="44">
        <f t="shared" si="18"/>
        <v>1706066379</v>
      </c>
      <c r="S4" s="45">
        <f t="shared" si="19"/>
        <v>17226056</v>
      </c>
      <c r="T4" s="46">
        <f t="shared" si="20"/>
        <v>99.03987187</v>
      </c>
      <c r="U4" s="44">
        <f t="shared" si="21"/>
        <v>1752197575</v>
      </c>
      <c r="V4" s="45">
        <f t="shared" si="22"/>
        <v>42888740</v>
      </c>
      <c r="W4" s="46">
        <f t="shared" si="23"/>
        <v>40.85448943</v>
      </c>
      <c r="X4" s="44">
        <f t="shared" si="24"/>
        <v>1559096662</v>
      </c>
      <c r="Y4" s="45">
        <f t="shared" si="25"/>
        <v>34137571</v>
      </c>
      <c r="Z4" s="46">
        <f t="shared" si="26"/>
        <v>45.67098995</v>
      </c>
      <c r="AA4" s="44">
        <f t="shared" si="27"/>
        <v>1251664657</v>
      </c>
      <c r="AB4" s="45">
        <f t="shared" si="28"/>
        <v>17804348</v>
      </c>
      <c r="AC4" s="46">
        <f t="shared" si="29"/>
        <v>70.30106674</v>
      </c>
      <c r="AD4" s="44">
        <f t="shared" si="30"/>
        <v>1352135827</v>
      </c>
      <c r="AE4" s="45">
        <f t="shared" si="31"/>
        <v>10022984</v>
      </c>
      <c r="AF4" s="46">
        <f t="shared" si="32"/>
        <v>134.9035204</v>
      </c>
      <c r="AG4" s="44">
        <f t="shared" si="33"/>
        <v>622350086</v>
      </c>
      <c r="AH4" s="45">
        <f t="shared" si="34"/>
        <v>34133510</v>
      </c>
      <c r="AI4" s="46">
        <f t="shared" si="35"/>
        <v>18.23281831</v>
      </c>
      <c r="AJ4" s="44">
        <f t="shared" si="36"/>
        <v>1538257526</v>
      </c>
      <c r="AK4" s="45">
        <f t="shared" si="37"/>
        <v>11636325</v>
      </c>
      <c r="AL4" s="46">
        <f t="shared" si="38"/>
        <v>132.1944451</v>
      </c>
      <c r="AM4" s="44">
        <f t="shared" si="39"/>
        <v>626866595</v>
      </c>
      <c r="AN4" s="45">
        <f t="shared" si="40"/>
        <v>2413012</v>
      </c>
      <c r="AO4" s="46">
        <f t="shared" si="41"/>
        <v>259.7859418</v>
      </c>
      <c r="AP4" s="44">
        <f t="shared" si="42"/>
        <v>85522428</v>
      </c>
      <c r="AQ4" s="45">
        <f t="shared" si="43"/>
        <v>41178108</v>
      </c>
      <c r="AR4" s="46">
        <f t="shared" si="44"/>
        <v>2.076890662</v>
      </c>
      <c r="AS4" s="47">
        <f t="shared" si="45"/>
        <v>14809867674</v>
      </c>
      <c r="AT4" s="48">
        <f t="shared" si="46"/>
        <v>1074760654</v>
      </c>
      <c r="AU4" s="47">
        <f t="shared" si="47"/>
        <v>1057847691</v>
      </c>
      <c r="AV4" s="49">
        <f t="shared" si="48"/>
        <v>82673896.49</v>
      </c>
      <c r="AW4" s="47">
        <f t="shared" ref="AW4:AY4" si="49">MIN(C4,F4,I4,L4,O4,R4,U4,X4,AA4,AD4,AG4,AJ4,AM4,AP4)</f>
        <v>85522428</v>
      </c>
      <c r="AX4" s="50">
        <f t="shared" si="49"/>
        <v>2413012</v>
      </c>
      <c r="AY4" s="51">
        <f t="shared" si="49"/>
        <v>2.076890662</v>
      </c>
      <c r="AZ4" s="47">
        <f t="shared" ref="AZ4:BB4" si="50">MAX(C4,F4,I4,L4,O4,R4,U4,X4,AA4,AD4,AG4,AJ4,AM4,AP4)</f>
        <v>1752197575</v>
      </c>
      <c r="BA4" s="50">
        <f t="shared" si="50"/>
        <v>49952569</v>
      </c>
      <c r="BB4" s="48">
        <f t="shared" si="50"/>
        <v>259.7859418</v>
      </c>
      <c r="BC4" s="52"/>
      <c r="BD4" s="52"/>
      <c r="BE4" s="52"/>
      <c r="BF4" s="52"/>
      <c r="BG4" s="52"/>
    </row>
    <row r="5">
      <c r="A5" s="39">
        <v>4.0</v>
      </c>
      <c r="B5" s="40" t="s">
        <v>163</v>
      </c>
      <c r="C5" s="41">
        <f t="shared" si="3"/>
        <v>60895327</v>
      </c>
      <c r="D5" s="42">
        <f t="shared" si="4"/>
        <v>31266560</v>
      </c>
      <c r="E5" s="43">
        <f t="shared" si="5"/>
        <v>1.947618382</v>
      </c>
      <c r="F5" s="41">
        <f t="shared" si="6"/>
        <v>1687217321</v>
      </c>
      <c r="G5" s="42">
        <f t="shared" si="7"/>
        <v>21466220</v>
      </c>
      <c r="H5" s="43">
        <f t="shared" si="8"/>
        <v>78.59871561</v>
      </c>
      <c r="I5" s="44">
        <f t="shared" si="9"/>
        <v>725328962</v>
      </c>
      <c r="J5" s="45">
        <f t="shared" si="10"/>
        <v>32051964</v>
      </c>
      <c r="K5" s="46">
        <f t="shared" si="11"/>
        <v>22.62978213</v>
      </c>
      <c r="L5" s="44">
        <f t="shared" si="12"/>
        <v>1652426796</v>
      </c>
      <c r="M5" s="45">
        <f t="shared" si="13"/>
        <v>6201719</v>
      </c>
      <c r="N5" s="46">
        <f t="shared" si="14"/>
        <v>266.4465765</v>
      </c>
      <c r="O5" s="44">
        <f t="shared" si="15"/>
        <v>1001114641</v>
      </c>
      <c r="P5" s="45">
        <f t="shared" si="16"/>
        <v>32026574</v>
      </c>
      <c r="Q5" s="46">
        <f t="shared" si="17"/>
        <v>31.25887399</v>
      </c>
      <c r="R5" s="44">
        <f t="shared" si="18"/>
        <v>185037392</v>
      </c>
      <c r="S5" s="45">
        <f t="shared" si="19"/>
        <v>19186273</v>
      </c>
      <c r="T5" s="46">
        <f t="shared" si="20"/>
        <v>9.64425931</v>
      </c>
      <c r="U5" s="44">
        <f t="shared" si="21"/>
        <v>694625075</v>
      </c>
      <c r="V5" s="45">
        <f t="shared" si="22"/>
        <v>35602509</v>
      </c>
      <c r="W5" s="46">
        <f t="shared" si="23"/>
        <v>19.51056525</v>
      </c>
      <c r="X5" s="44">
        <f t="shared" si="24"/>
        <v>508695413</v>
      </c>
      <c r="Y5" s="45">
        <f t="shared" si="25"/>
        <v>13499231</v>
      </c>
      <c r="Z5" s="46">
        <f t="shared" si="26"/>
        <v>37.68328826</v>
      </c>
      <c r="AA5" s="44">
        <f t="shared" si="27"/>
        <v>1366161838</v>
      </c>
      <c r="AB5" s="45">
        <f t="shared" si="28"/>
        <v>26472862</v>
      </c>
      <c r="AC5" s="46">
        <f t="shared" si="29"/>
        <v>51.60612547</v>
      </c>
      <c r="AD5" s="44">
        <f t="shared" si="30"/>
        <v>1045306709</v>
      </c>
      <c r="AE5" s="45">
        <f t="shared" si="31"/>
        <v>3800528</v>
      </c>
      <c r="AF5" s="46">
        <f t="shared" si="32"/>
        <v>275.0424965</v>
      </c>
      <c r="AG5" s="44">
        <f t="shared" si="33"/>
        <v>765768721</v>
      </c>
      <c r="AH5" s="45">
        <f t="shared" si="34"/>
        <v>14790822</v>
      </c>
      <c r="AI5" s="46">
        <f t="shared" si="35"/>
        <v>51.7732362</v>
      </c>
      <c r="AJ5" s="44">
        <f t="shared" si="36"/>
        <v>926576349</v>
      </c>
      <c r="AK5" s="45">
        <f t="shared" si="37"/>
        <v>36556754</v>
      </c>
      <c r="AL5" s="46">
        <f t="shared" si="38"/>
        <v>25.34624242</v>
      </c>
      <c r="AM5" s="44">
        <f t="shared" si="39"/>
        <v>694500084</v>
      </c>
      <c r="AN5" s="45">
        <f t="shared" si="40"/>
        <v>30110390</v>
      </c>
      <c r="AO5" s="46">
        <f t="shared" si="41"/>
        <v>23.06513081</v>
      </c>
      <c r="AP5" s="44">
        <f t="shared" si="42"/>
        <v>1439212908</v>
      </c>
      <c r="AQ5" s="45">
        <f t="shared" si="43"/>
        <v>10437108</v>
      </c>
      <c r="AR5" s="46">
        <f t="shared" si="44"/>
        <v>137.8938407</v>
      </c>
      <c r="AS5" s="47">
        <f t="shared" si="45"/>
        <v>12752867536</v>
      </c>
      <c r="AT5" s="48">
        <f t="shared" si="46"/>
        <v>1001115376</v>
      </c>
      <c r="AU5" s="47">
        <f t="shared" si="47"/>
        <v>910919110</v>
      </c>
      <c r="AV5" s="49">
        <f t="shared" si="48"/>
        <v>77008875.06</v>
      </c>
      <c r="AW5" s="47">
        <f t="shared" ref="AW5:AY5" si="51">MIN(C5,F5,I5,L5,O5,R5,U5,X5,AA5,AD5,AG5,AJ5,AM5,AP5)</f>
        <v>60895327</v>
      </c>
      <c r="AX5" s="50">
        <f t="shared" si="51"/>
        <v>3800528</v>
      </c>
      <c r="AY5" s="51">
        <f t="shared" si="51"/>
        <v>1.947618382</v>
      </c>
      <c r="AZ5" s="47">
        <f t="shared" ref="AZ5:BB5" si="52">MAX(C5,F5,I5,L5,O5,R5,U5,X5,AA5,AD5,AG5,AJ5,AM5,AP5)</f>
        <v>1687217321</v>
      </c>
      <c r="BA5" s="50">
        <f t="shared" si="52"/>
        <v>36556754</v>
      </c>
      <c r="BB5" s="48">
        <f t="shared" si="52"/>
        <v>275.0424965</v>
      </c>
      <c r="BC5" s="52"/>
      <c r="BD5" s="52"/>
      <c r="BE5" s="52"/>
      <c r="BF5" s="52"/>
      <c r="BG5" s="52"/>
    </row>
    <row r="6">
      <c r="A6" s="39">
        <v>6.0</v>
      </c>
      <c r="B6" s="40" t="s">
        <v>164</v>
      </c>
      <c r="C6" s="41">
        <f t="shared" si="3"/>
        <v>464751226</v>
      </c>
      <c r="D6" s="42">
        <f t="shared" si="4"/>
        <v>41882241</v>
      </c>
      <c r="E6" s="43">
        <f t="shared" si="5"/>
        <v>11.09661792</v>
      </c>
      <c r="F6" s="41">
        <f t="shared" si="6"/>
        <v>882923038</v>
      </c>
      <c r="G6" s="42">
        <f t="shared" si="7"/>
        <v>23182618</v>
      </c>
      <c r="H6" s="43">
        <f t="shared" si="8"/>
        <v>38.08556212</v>
      </c>
      <c r="I6" s="44">
        <f t="shared" si="9"/>
        <v>1284147815</v>
      </c>
      <c r="J6" s="45">
        <f t="shared" si="10"/>
        <v>20281246</v>
      </c>
      <c r="K6" s="46">
        <f t="shared" si="11"/>
        <v>63.31700799</v>
      </c>
      <c r="L6" s="44">
        <f t="shared" si="12"/>
        <v>1022462944</v>
      </c>
      <c r="M6" s="45">
        <f t="shared" si="13"/>
        <v>26155776</v>
      </c>
      <c r="N6" s="46">
        <f t="shared" si="14"/>
        <v>39.09128691</v>
      </c>
      <c r="O6" s="44">
        <f t="shared" si="15"/>
        <v>1206023393</v>
      </c>
      <c r="P6" s="45">
        <f t="shared" si="16"/>
        <v>47100461</v>
      </c>
      <c r="Q6" s="46">
        <f t="shared" si="17"/>
        <v>25.60534159</v>
      </c>
      <c r="R6" s="44">
        <f t="shared" si="18"/>
        <v>1663014845</v>
      </c>
      <c r="S6" s="45">
        <f t="shared" si="19"/>
        <v>27542329</v>
      </c>
      <c r="T6" s="46">
        <f t="shared" si="20"/>
        <v>60.3803275</v>
      </c>
      <c r="U6" s="44">
        <f t="shared" si="21"/>
        <v>1189978535</v>
      </c>
      <c r="V6" s="45">
        <f t="shared" si="22"/>
        <v>42225095</v>
      </c>
      <c r="W6" s="46">
        <f t="shared" si="23"/>
        <v>28.18178467</v>
      </c>
      <c r="X6" s="44">
        <f t="shared" si="24"/>
        <v>1999556299</v>
      </c>
      <c r="Y6" s="45">
        <f t="shared" si="25"/>
        <v>39098215</v>
      </c>
      <c r="Z6" s="46">
        <f t="shared" si="26"/>
        <v>51.14188203</v>
      </c>
      <c r="AA6" s="44">
        <f t="shared" si="27"/>
        <v>1287329565</v>
      </c>
      <c r="AB6" s="45">
        <f t="shared" si="28"/>
        <v>35612086</v>
      </c>
      <c r="AC6" s="46">
        <f t="shared" si="29"/>
        <v>36.14867057</v>
      </c>
      <c r="AD6" s="44">
        <f t="shared" si="30"/>
        <v>1897337375</v>
      </c>
      <c r="AE6" s="45">
        <f t="shared" si="31"/>
        <v>38578524</v>
      </c>
      <c r="AF6" s="46">
        <f t="shared" si="32"/>
        <v>49.18118109</v>
      </c>
      <c r="AG6" s="44">
        <f t="shared" si="33"/>
        <v>1958415155</v>
      </c>
      <c r="AH6" s="45">
        <f t="shared" si="34"/>
        <v>40063269</v>
      </c>
      <c r="AI6" s="46">
        <f t="shared" si="35"/>
        <v>48.88305932</v>
      </c>
      <c r="AJ6" s="44">
        <f t="shared" si="36"/>
        <v>20333761</v>
      </c>
      <c r="AK6" s="45">
        <f t="shared" si="37"/>
        <v>23642218</v>
      </c>
      <c r="AL6" s="46">
        <f t="shared" si="38"/>
        <v>0.8600614798</v>
      </c>
      <c r="AM6" s="44">
        <f t="shared" si="39"/>
        <v>227726321</v>
      </c>
      <c r="AN6" s="45">
        <f t="shared" si="40"/>
        <v>26686734</v>
      </c>
      <c r="AO6" s="46">
        <f t="shared" si="41"/>
        <v>8.533315504</v>
      </c>
      <c r="AP6" s="44">
        <f t="shared" si="42"/>
        <v>1175117736</v>
      </c>
      <c r="AQ6" s="45">
        <f t="shared" si="43"/>
        <v>20509699</v>
      </c>
      <c r="AR6" s="46">
        <f t="shared" si="44"/>
        <v>57.29570853</v>
      </c>
      <c r="AS6" s="47">
        <f t="shared" si="45"/>
        <v>16279118008</v>
      </c>
      <c r="AT6" s="48">
        <f t="shared" si="46"/>
        <v>1206023846</v>
      </c>
      <c r="AU6" s="47">
        <f t="shared" si="47"/>
        <v>1162794144</v>
      </c>
      <c r="AV6" s="49">
        <f t="shared" si="48"/>
        <v>92771065.09</v>
      </c>
      <c r="AW6" s="47">
        <f t="shared" ref="AW6:AY6" si="53">MIN(C6,F6,I6,L6,O6,R6,U6,X6,AA6,AD6,AG6,AJ6,AM6,AP6)</f>
        <v>20333761</v>
      </c>
      <c r="AX6" s="50">
        <f t="shared" si="53"/>
        <v>20281246</v>
      </c>
      <c r="AY6" s="51">
        <f t="shared" si="53"/>
        <v>0.8600614798</v>
      </c>
      <c r="AZ6" s="47">
        <f t="shared" ref="AZ6:BB6" si="54">MAX(C6,F6,I6,L6,O6,R6,U6,X6,AA6,AD6,AG6,AJ6,AM6,AP6)</f>
        <v>1999556299</v>
      </c>
      <c r="BA6" s="50">
        <f t="shared" si="54"/>
        <v>47100461</v>
      </c>
      <c r="BB6" s="48">
        <f t="shared" si="54"/>
        <v>63.31700799</v>
      </c>
      <c r="BC6" s="52"/>
      <c r="BD6" s="52"/>
      <c r="BE6" s="52"/>
      <c r="BF6" s="52"/>
      <c r="BG6" s="52"/>
    </row>
    <row r="7">
      <c r="A7" s="39">
        <v>7.0</v>
      </c>
      <c r="B7" s="40" t="s">
        <v>165</v>
      </c>
      <c r="C7" s="41">
        <f t="shared" si="3"/>
        <v>442469975</v>
      </c>
      <c r="D7" s="42">
        <f t="shared" si="4"/>
        <v>38850311</v>
      </c>
      <c r="E7" s="43">
        <f t="shared" si="5"/>
        <v>11.38909737</v>
      </c>
      <c r="F7" s="41">
        <f t="shared" si="6"/>
        <v>1281550551</v>
      </c>
      <c r="G7" s="42">
        <f t="shared" si="7"/>
        <v>35154144</v>
      </c>
      <c r="H7" s="43">
        <f t="shared" si="8"/>
        <v>36.45517726</v>
      </c>
      <c r="I7" s="44">
        <f t="shared" si="9"/>
        <v>1903788785</v>
      </c>
      <c r="J7" s="45">
        <f t="shared" si="10"/>
        <v>29071100</v>
      </c>
      <c r="K7" s="46">
        <f t="shared" si="11"/>
        <v>65.48733226</v>
      </c>
      <c r="L7" s="44">
        <f t="shared" si="12"/>
        <v>379411028</v>
      </c>
      <c r="M7" s="45">
        <f t="shared" si="13"/>
        <v>47893950</v>
      </c>
      <c r="N7" s="46">
        <f t="shared" si="14"/>
        <v>7.921898862</v>
      </c>
      <c r="O7" s="44">
        <f t="shared" si="15"/>
        <v>694547910</v>
      </c>
      <c r="P7" s="45">
        <f t="shared" si="16"/>
        <v>26293144</v>
      </c>
      <c r="Q7" s="46">
        <f t="shared" si="17"/>
        <v>26.4155519</v>
      </c>
      <c r="R7" s="44">
        <f t="shared" si="18"/>
        <v>1406842279</v>
      </c>
      <c r="S7" s="45">
        <f t="shared" si="19"/>
        <v>18979417</v>
      </c>
      <c r="T7" s="46">
        <f t="shared" si="20"/>
        <v>74.12463086</v>
      </c>
      <c r="U7" s="44">
        <f t="shared" si="21"/>
        <v>363895972</v>
      </c>
      <c r="V7" s="45">
        <f t="shared" si="22"/>
        <v>45880642</v>
      </c>
      <c r="W7" s="46">
        <f t="shared" si="23"/>
        <v>7.931361815</v>
      </c>
      <c r="X7" s="44">
        <f t="shared" si="24"/>
        <v>315754054</v>
      </c>
      <c r="Y7" s="45">
        <f t="shared" si="25"/>
        <v>2487931</v>
      </c>
      <c r="Z7" s="46">
        <f t="shared" si="26"/>
        <v>126.9143131</v>
      </c>
      <c r="AA7" s="44">
        <f t="shared" si="27"/>
        <v>1348610138</v>
      </c>
      <c r="AB7" s="45">
        <f t="shared" si="28"/>
        <v>46034678</v>
      </c>
      <c r="AC7" s="46">
        <f t="shared" si="29"/>
        <v>29.29552669</v>
      </c>
      <c r="AD7" s="44">
        <f t="shared" si="30"/>
        <v>736754443</v>
      </c>
      <c r="AE7" s="45">
        <f t="shared" si="31"/>
        <v>41139133</v>
      </c>
      <c r="AF7" s="46">
        <f t="shared" si="32"/>
        <v>17.90884711</v>
      </c>
      <c r="AG7" s="44">
        <f t="shared" si="33"/>
        <v>469491575</v>
      </c>
      <c r="AH7" s="45">
        <f t="shared" si="34"/>
        <v>43229151</v>
      </c>
      <c r="AI7" s="46">
        <f t="shared" si="35"/>
        <v>10.86053194</v>
      </c>
      <c r="AJ7" s="44">
        <f t="shared" si="36"/>
        <v>1181597176</v>
      </c>
      <c r="AK7" s="45">
        <f t="shared" si="37"/>
        <v>4317515</v>
      </c>
      <c r="AL7" s="46">
        <f t="shared" si="38"/>
        <v>273.6752915</v>
      </c>
      <c r="AM7" s="44">
        <f t="shared" si="39"/>
        <v>1228368344</v>
      </c>
      <c r="AN7" s="45">
        <f t="shared" si="40"/>
        <v>30676823</v>
      </c>
      <c r="AO7" s="46">
        <f t="shared" si="41"/>
        <v>40.0422281</v>
      </c>
      <c r="AP7" s="44">
        <f t="shared" si="42"/>
        <v>1334231010</v>
      </c>
      <c r="AQ7" s="45">
        <f t="shared" si="43"/>
        <v>19421363</v>
      </c>
      <c r="AR7" s="46">
        <f t="shared" si="44"/>
        <v>68.69914382</v>
      </c>
      <c r="AS7" s="47">
        <f t="shared" si="45"/>
        <v>13087313240</v>
      </c>
      <c r="AT7" s="48">
        <f t="shared" si="46"/>
        <v>694548672.8</v>
      </c>
      <c r="AU7" s="47">
        <f t="shared" si="47"/>
        <v>934808089</v>
      </c>
      <c r="AV7" s="49">
        <f t="shared" si="48"/>
        <v>53426820.98</v>
      </c>
      <c r="AW7" s="47">
        <f t="shared" ref="AW7:AY7" si="55">MIN(C7,F7,I7,L7,O7,R7,U7,X7,AA7,AD7,AG7,AJ7,AM7,AP7)</f>
        <v>315754054</v>
      </c>
      <c r="AX7" s="50">
        <f t="shared" si="55"/>
        <v>2487931</v>
      </c>
      <c r="AY7" s="51">
        <f t="shared" si="55"/>
        <v>7.921898862</v>
      </c>
      <c r="AZ7" s="47">
        <f t="shared" ref="AZ7:BB7" si="56">MAX(C7,F7,I7,L7,O7,R7,U7,X7,AA7,AD7,AG7,AJ7,AM7,AP7)</f>
        <v>1903788785</v>
      </c>
      <c r="BA7" s="50">
        <f t="shared" si="56"/>
        <v>47893950</v>
      </c>
      <c r="BB7" s="48">
        <f t="shared" si="56"/>
        <v>273.6752915</v>
      </c>
      <c r="BC7" s="52"/>
      <c r="BD7" s="52"/>
      <c r="BE7" s="52"/>
      <c r="BF7" s="52"/>
      <c r="BG7" s="52"/>
    </row>
    <row r="8">
      <c r="A8" s="39">
        <v>8.0</v>
      </c>
      <c r="B8" s="40" t="s">
        <v>166</v>
      </c>
      <c r="C8" s="41">
        <f t="shared" si="3"/>
        <v>1744360102</v>
      </c>
      <c r="D8" s="42">
        <f t="shared" si="4"/>
        <v>19766060</v>
      </c>
      <c r="E8" s="43">
        <f t="shared" si="5"/>
        <v>88.25026849</v>
      </c>
      <c r="F8" s="41">
        <f t="shared" si="6"/>
        <v>1243793812</v>
      </c>
      <c r="G8" s="42">
        <f t="shared" si="7"/>
        <v>48381582</v>
      </c>
      <c r="H8" s="43">
        <f t="shared" si="8"/>
        <v>25.70800211</v>
      </c>
      <c r="I8" s="44">
        <f t="shared" si="9"/>
        <v>1013819837</v>
      </c>
      <c r="J8" s="45">
        <f t="shared" si="10"/>
        <v>9335602</v>
      </c>
      <c r="K8" s="46">
        <f t="shared" si="11"/>
        <v>108.5971571</v>
      </c>
      <c r="L8" s="44">
        <f t="shared" si="12"/>
        <v>373590861</v>
      </c>
      <c r="M8" s="45">
        <f t="shared" si="13"/>
        <v>44753037</v>
      </c>
      <c r="N8" s="46">
        <f t="shared" si="14"/>
        <v>8.347832595</v>
      </c>
      <c r="O8" s="44">
        <f t="shared" si="15"/>
        <v>179653691</v>
      </c>
      <c r="P8" s="45">
        <f t="shared" si="16"/>
        <v>20581711</v>
      </c>
      <c r="Q8" s="46">
        <f t="shared" si="17"/>
        <v>8.728802528</v>
      </c>
      <c r="R8" s="44">
        <f t="shared" si="18"/>
        <v>110299321</v>
      </c>
      <c r="S8" s="45">
        <f t="shared" si="19"/>
        <v>32922661</v>
      </c>
      <c r="T8" s="46">
        <f t="shared" si="20"/>
        <v>3.350255345</v>
      </c>
      <c r="U8" s="44">
        <f t="shared" si="21"/>
        <v>1353828745</v>
      </c>
      <c r="V8" s="45">
        <f t="shared" si="22"/>
        <v>32056699</v>
      </c>
      <c r="W8" s="46">
        <f t="shared" si="23"/>
        <v>42.23231921</v>
      </c>
      <c r="X8" s="44">
        <f t="shared" si="24"/>
        <v>843977934</v>
      </c>
      <c r="Y8" s="45">
        <f t="shared" si="25"/>
        <v>16262490</v>
      </c>
      <c r="Z8" s="46">
        <f t="shared" si="26"/>
        <v>51.89721463</v>
      </c>
      <c r="AA8" s="44">
        <f t="shared" si="27"/>
        <v>1986871600</v>
      </c>
      <c r="AB8" s="45">
        <f t="shared" si="28"/>
        <v>39588433</v>
      </c>
      <c r="AC8" s="46">
        <f t="shared" si="29"/>
        <v>50.18818502</v>
      </c>
      <c r="AD8" s="44">
        <f t="shared" si="30"/>
        <v>1942015155</v>
      </c>
      <c r="AE8" s="45">
        <f t="shared" si="31"/>
        <v>1711793</v>
      </c>
      <c r="AF8" s="46">
        <f t="shared" si="32"/>
        <v>1134.491819</v>
      </c>
      <c r="AG8" s="44">
        <f t="shared" si="33"/>
        <v>636633724</v>
      </c>
      <c r="AH8" s="45">
        <f t="shared" si="34"/>
        <v>43476795</v>
      </c>
      <c r="AI8" s="46">
        <f t="shared" si="35"/>
        <v>14.64306934</v>
      </c>
      <c r="AJ8" s="44">
        <f t="shared" si="36"/>
        <v>146012292</v>
      </c>
      <c r="AK8" s="45">
        <f t="shared" si="37"/>
        <v>41434905</v>
      </c>
      <c r="AL8" s="46">
        <f t="shared" si="38"/>
        <v>3.523895904</v>
      </c>
      <c r="AM8" s="44">
        <f t="shared" si="39"/>
        <v>356527303</v>
      </c>
      <c r="AN8" s="45">
        <f t="shared" si="40"/>
        <v>47954596</v>
      </c>
      <c r="AO8" s="46">
        <f t="shared" si="41"/>
        <v>7.434684738</v>
      </c>
      <c r="AP8" s="44">
        <f t="shared" si="42"/>
        <v>1093172005</v>
      </c>
      <c r="AQ8" s="45">
        <f t="shared" si="43"/>
        <v>14166786</v>
      </c>
      <c r="AR8" s="46">
        <f t="shared" si="44"/>
        <v>77.16443271</v>
      </c>
      <c r="AS8" s="47">
        <f t="shared" si="45"/>
        <v>13024556382</v>
      </c>
      <c r="AT8" s="48">
        <f t="shared" si="46"/>
        <v>179655298.5</v>
      </c>
      <c r="AU8" s="47">
        <f t="shared" si="47"/>
        <v>930325456</v>
      </c>
      <c r="AV8" s="49">
        <f t="shared" si="48"/>
        <v>13819638.34</v>
      </c>
      <c r="AW8" s="47">
        <f t="shared" ref="AW8:AY8" si="57">MIN(C8,F8,I8,L8,O8,R8,U8,X8,AA8,AD8,AG8,AJ8,AM8,AP8)</f>
        <v>110299321</v>
      </c>
      <c r="AX8" s="50">
        <f t="shared" si="57"/>
        <v>1711793</v>
      </c>
      <c r="AY8" s="51">
        <f t="shared" si="57"/>
        <v>3.350255345</v>
      </c>
      <c r="AZ8" s="47">
        <f t="shared" ref="AZ8:BB8" si="58">MAX(C8,F8,I8,L8,O8,R8,U8,X8,AA8,AD8,AG8,AJ8,AM8,AP8)</f>
        <v>1986871600</v>
      </c>
      <c r="BA8" s="50">
        <f t="shared" si="58"/>
        <v>48381582</v>
      </c>
      <c r="BB8" s="48">
        <f t="shared" si="58"/>
        <v>1134.491819</v>
      </c>
      <c r="BC8" s="52"/>
      <c r="BD8" s="52"/>
      <c r="BE8" s="52"/>
      <c r="BF8" s="52"/>
      <c r="BG8" s="52"/>
    </row>
    <row r="9">
      <c r="A9" s="39">
        <v>9.0</v>
      </c>
      <c r="B9" s="40" t="s">
        <v>167</v>
      </c>
      <c r="C9" s="41">
        <f t="shared" si="3"/>
        <v>1495330815</v>
      </c>
      <c r="D9" s="42">
        <f t="shared" si="4"/>
        <v>44216995</v>
      </c>
      <c r="E9" s="43">
        <f t="shared" si="5"/>
        <v>33.81801081</v>
      </c>
      <c r="F9" s="41">
        <f t="shared" si="6"/>
        <v>1062724224</v>
      </c>
      <c r="G9" s="42">
        <f t="shared" si="7"/>
        <v>16268385</v>
      </c>
      <c r="H9" s="43">
        <f t="shared" si="8"/>
        <v>65.32450664</v>
      </c>
      <c r="I9" s="44">
        <f t="shared" si="9"/>
        <v>1803754109</v>
      </c>
      <c r="J9" s="45">
        <f t="shared" si="10"/>
        <v>36523063</v>
      </c>
      <c r="K9" s="46">
        <f t="shared" si="11"/>
        <v>49.38671516</v>
      </c>
      <c r="L9" s="44">
        <f t="shared" si="12"/>
        <v>1976748484</v>
      </c>
      <c r="M9" s="45">
        <f t="shared" si="13"/>
        <v>46463208</v>
      </c>
      <c r="N9" s="46">
        <f t="shared" si="14"/>
        <v>42.5443823</v>
      </c>
      <c r="O9" s="44">
        <f t="shared" si="15"/>
        <v>1840533746</v>
      </c>
      <c r="P9" s="45">
        <f t="shared" si="16"/>
        <v>3275446</v>
      </c>
      <c r="Q9" s="46">
        <f t="shared" si="17"/>
        <v>561.9185131</v>
      </c>
      <c r="R9" s="44">
        <f t="shared" si="18"/>
        <v>1881538910</v>
      </c>
      <c r="S9" s="45">
        <f t="shared" si="19"/>
        <v>17406623</v>
      </c>
      <c r="T9" s="46">
        <f t="shared" si="20"/>
        <v>108.0932763</v>
      </c>
      <c r="U9" s="44">
        <f t="shared" si="21"/>
        <v>1912716265</v>
      </c>
      <c r="V9" s="45">
        <f t="shared" si="22"/>
        <v>46616919</v>
      </c>
      <c r="W9" s="46">
        <f t="shared" si="23"/>
        <v>41.03051652</v>
      </c>
      <c r="X9" s="44">
        <f t="shared" si="24"/>
        <v>1790249404</v>
      </c>
      <c r="Y9" s="45">
        <f t="shared" si="25"/>
        <v>13887785</v>
      </c>
      <c r="Z9" s="46">
        <f t="shared" si="26"/>
        <v>128.9082027</v>
      </c>
      <c r="AA9" s="44">
        <f t="shared" si="27"/>
        <v>1491004828</v>
      </c>
      <c r="AB9" s="45">
        <f t="shared" si="28"/>
        <v>15192243</v>
      </c>
      <c r="AC9" s="46">
        <f t="shared" si="29"/>
        <v>98.14250786</v>
      </c>
      <c r="AD9" s="44">
        <f t="shared" si="30"/>
        <v>139913406</v>
      </c>
      <c r="AE9" s="45">
        <f t="shared" si="31"/>
        <v>46248377</v>
      </c>
      <c r="AF9" s="46">
        <f t="shared" si="32"/>
        <v>3.025260886</v>
      </c>
      <c r="AG9" s="44">
        <f t="shared" si="33"/>
        <v>1844206060</v>
      </c>
      <c r="AH9" s="45">
        <f t="shared" si="34"/>
        <v>22669143</v>
      </c>
      <c r="AI9" s="46">
        <f t="shared" si="35"/>
        <v>81.35314423</v>
      </c>
      <c r="AJ9" s="44">
        <f t="shared" si="36"/>
        <v>1359191465</v>
      </c>
      <c r="AK9" s="45">
        <f t="shared" si="37"/>
        <v>31436821</v>
      </c>
      <c r="AL9" s="46">
        <f t="shared" si="38"/>
        <v>43.23565239</v>
      </c>
      <c r="AM9" s="44">
        <f t="shared" si="39"/>
        <v>562815288</v>
      </c>
      <c r="AN9" s="45">
        <f t="shared" si="40"/>
        <v>36990780</v>
      </c>
      <c r="AO9" s="46">
        <f t="shared" si="41"/>
        <v>15.21501542</v>
      </c>
      <c r="AP9" s="44">
        <f t="shared" si="42"/>
        <v>1244599845</v>
      </c>
      <c r="AQ9" s="45">
        <f t="shared" si="43"/>
        <v>28872671</v>
      </c>
      <c r="AR9" s="46">
        <f t="shared" si="44"/>
        <v>43.10650182</v>
      </c>
      <c r="AS9" s="47">
        <f t="shared" si="45"/>
        <v>20405326849</v>
      </c>
      <c r="AT9" s="48">
        <f t="shared" si="46"/>
        <v>1840534457</v>
      </c>
      <c r="AU9" s="47">
        <f t="shared" si="47"/>
        <v>1457523347</v>
      </c>
      <c r="AV9" s="49">
        <f t="shared" si="48"/>
        <v>141579573.6</v>
      </c>
      <c r="AW9" s="47">
        <f t="shared" ref="AW9:AY9" si="59">MIN(C9,F9,I9,L9,O9,R9,U9,X9,AA9,AD9,AG9,AJ9,AM9,AP9)</f>
        <v>139913406</v>
      </c>
      <c r="AX9" s="50">
        <f t="shared" si="59"/>
        <v>3275446</v>
      </c>
      <c r="AY9" s="51">
        <f t="shared" si="59"/>
        <v>3.025260886</v>
      </c>
      <c r="AZ9" s="47">
        <f t="shared" ref="AZ9:BB9" si="60">MAX(C9,F9,I9,L9,O9,R9,U9,X9,AA9,AD9,AG9,AJ9,AM9,AP9)</f>
        <v>1976748484</v>
      </c>
      <c r="BA9" s="50">
        <f t="shared" si="60"/>
        <v>46616919</v>
      </c>
      <c r="BB9" s="48">
        <f t="shared" si="60"/>
        <v>561.9185131</v>
      </c>
      <c r="BC9" s="52"/>
      <c r="BD9" s="52"/>
      <c r="BE9" s="52"/>
      <c r="BF9" s="52"/>
      <c r="BG9" s="52"/>
    </row>
    <row r="10">
      <c r="A10" s="39">
        <v>10.0</v>
      </c>
      <c r="B10" s="40" t="s">
        <v>168</v>
      </c>
      <c r="C10" s="41">
        <f t="shared" si="3"/>
        <v>20678924</v>
      </c>
      <c r="D10" s="42">
        <f t="shared" si="4"/>
        <v>37887104</v>
      </c>
      <c r="E10" s="43">
        <f t="shared" si="5"/>
        <v>0.5458037648</v>
      </c>
      <c r="F10" s="41">
        <f t="shared" si="6"/>
        <v>235660619</v>
      </c>
      <c r="G10" s="42">
        <f t="shared" si="7"/>
        <v>41743672</v>
      </c>
      <c r="H10" s="43">
        <f t="shared" si="8"/>
        <v>5.645421395</v>
      </c>
      <c r="I10" s="44">
        <f t="shared" si="9"/>
        <v>536397108</v>
      </c>
      <c r="J10" s="45">
        <f t="shared" si="10"/>
        <v>8061785</v>
      </c>
      <c r="K10" s="46">
        <f t="shared" si="11"/>
        <v>66.5357744</v>
      </c>
      <c r="L10" s="44">
        <f t="shared" si="12"/>
        <v>288788954</v>
      </c>
      <c r="M10" s="45">
        <f t="shared" si="13"/>
        <v>21912174</v>
      </c>
      <c r="N10" s="46">
        <f t="shared" si="14"/>
        <v>13.17938394</v>
      </c>
      <c r="O10" s="44">
        <f t="shared" si="15"/>
        <v>1335210194</v>
      </c>
      <c r="P10" s="45">
        <f t="shared" si="16"/>
        <v>18074263</v>
      </c>
      <c r="Q10" s="46">
        <f t="shared" si="17"/>
        <v>73.87356231</v>
      </c>
      <c r="R10" s="44">
        <f t="shared" si="18"/>
        <v>1754256944</v>
      </c>
      <c r="S10" s="45">
        <f t="shared" si="19"/>
        <v>46158579</v>
      </c>
      <c r="T10" s="46">
        <f t="shared" si="20"/>
        <v>38.00500323</v>
      </c>
      <c r="U10" s="44">
        <f t="shared" si="21"/>
        <v>1949726414</v>
      </c>
      <c r="V10" s="45">
        <f t="shared" si="22"/>
        <v>1846697</v>
      </c>
      <c r="W10" s="46">
        <f t="shared" si="23"/>
        <v>1055.791185</v>
      </c>
      <c r="X10" s="44">
        <f t="shared" si="24"/>
        <v>79539330</v>
      </c>
      <c r="Y10" s="45">
        <f t="shared" si="25"/>
        <v>6433749</v>
      </c>
      <c r="Z10" s="46">
        <f t="shared" si="26"/>
        <v>12.36282765</v>
      </c>
      <c r="AA10" s="44">
        <f t="shared" si="27"/>
        <v>804047309</v>
      </c>
      <c r="AB10" s="45">
        <f t="shared" si="28"/>
        <v>33305614</v>
      </c>
      <c r="AC10" s="46">
        <f t="shared" si="29"/>
        <v>24.14149485</v>
      </c>
      <c r="AD10" s="44">
        <f t="shared" si="30"/>
        <v>1534925914</v>
      </c>
      <c r="AE10" s="45">
        <f t="shared" si="31"/>
        <v>38847078</v>
      </c>
      <c r="AF10" s="46">
        <f t="shared" si="32"/>
        <v>39.51200433</v>
      </c>
      <c r="AG10" s="44">
        <f t="shared" si="33"/>
        <v>1888535716</v>
      </c>
      <c r="AH10" s="45">
        <f t="shared" si="34"/>
        <v>14219118</v>
      </c>
      <c r="AI10" s="46">
        <f t="shared" si="35"/>
        <v>132.8166568</v>
      </c>
      <c r="AJ10" s="44">
        <f t="shared" si="36"/>
        <v>135380006</v>
      </c>
      <c r="AK10" s="45">
        <f t="shared" si="37"/>
        <v>34577704</v>
      </c>
      <c r="AL10" s="46">
        <f t="shared" si="38"/>
        <v>3.91523989</v>
      </c>
      <c r="AM10" s="44">
        <f t="shared" si="39"/>
        <v>1990486874</v>
      </c>
      <c r="AN10" s="45">
        <f t="shared" si="40"/>
        <v>7450230</v>
      </c>
      <c r="AO10" s="46">
        <f t="shared" si="41"/>
        <v>267.1711979</v>
      </c>
      <c r="AP10" s="44">
        <f t="shared" si="42"/>
        <v>1164838934</v>
      </c>
      <c r="AQ10" s="45">
        <f t="shared" si="43"/>
        <v>10909576</v>
      </c>
      <c r="AR10" s="46">
        <f t="shared" si="44"/>
        <v>106.7721545</v>
      </c>
      <c r="AS10" s="47">
        <f t="shared" si="45"/>
        <v>13718473240</v>
      </c>
      <c r="AT10" s="48">
        <f t="shared" si="46"/>
        <v>1335211947</v>
      </c>
      <c r="AU10" s="47">
        <f t="shared" si="47"/>
        <v>979890946</v>
      </c>
      <c r="AV10" s="49">
        <f t="shared" si="48"/>
        <v>102708611.3</v>
      </c>
      <c r="AW10" s="47">
        <f t="shared" ref="AW10:AY10" si="61">MIN(C10,F10,I10,L10,O10,R10,U10,X10,AA10,AD10,AG10,AJ10,AM10,AP10)</f>
        <v>20678924</v>
      </c>
      <c r="AX10" s="50">
        <f t="shared" si="61"/>
        <v>1846697</v>
      </c>
      <c r="AY10" s="51">
        <f t="shared" si="61"/>
        <v>0.5458037648</v>
      </c>
      <c r="AZ10" s="47">
        <f t="shared" ref="AZ10:BB10" si="62">MAX(C10,F10,I10,L10,O10,R10,U10,X10,AA10,AD10,AG10,AJ10,AM10,AP10)</f>
        <v>1990486874</v>
      </c>
      <c r="BA10" s="50">
        <f t="shared" si="62"/>
        <v>46158579</v>
      </c>
      <c r="BB10" s="48">
        <f t="shared" si="62"/>
        <v>1055.791185</v>
      </c>
      <c r="BC10" s="52"/>
      <c r="BD10" s="52"/>
      <c r="BE10" s="52"/>
      <c r="BF10" s="52"/>
      <c r="BG10" s="52"/>
    </row>
    <row r="11">
      <c r="A11" s="39">
        <v>11.0</v>
      </c>
      <c r="B11" s="40" t="s">
        <v>169</v>
      </c>
      <c r="C11" s="41">
        <f t="shared" si="3"/>
        <v>1201837115</v>
      </c>
      <c r="D11" s="42">
        <f t="shared" si="4"/>
        <v>13177066</v>
      </c>
      <c r="E11" s="43">
        <f t="shared" si="5"/>
        <v>91.20673107</v>
      </c>
      <c r="F11" s="41">
        <f t="shared" si="6"/>
        <v>1028239755</v>
      </c>
      <c r="G11" s="42">
        <f t="shared" si="7"/>
        <v>48181475</v>
      </c>
      <c r="H11" s="43">
        <f t="shared" si="8"/>
        <v>21.34097711</v>
      </c>
      <c r="I11" s="44">
        <f t="shared" si="9"/>
        <v>1637490970</v>
      </c>
      <c r="J11" s="45">
        <f t="shared" si="10"/>
        <v>48272636</v>
      </c>
      <c r="K11" s="46">
        <f t="shared" si="11"/>
        <v>33.92172265</v>
      </c>
      <c r="L11" s="44">
        <f t="shared" si="12"/>
        <v>1585714594</v>
      </c>
      <c r="M11" s="45">
        <f t="shared" si="13"/>
        <v>9601600</v>
      </c>
      <c r="N11" s="46">
        <f t="shared" si="14"/>
        <v>165.1510784</v>
      </c>
      <c r="O11" s="44">
        <f t="shared" si="15"/>
        <v>1165655455</v>
      </c>
      <c r="P11" s="45">
        <f t="shared" si="16"/>
        <v>4653150</v>
      </c>
      <c r="Q11" s="46">
        <f t="shared" si="17"/>
        <v>250.5088929</v>
      </c>
      <c r="R11" s="44">
        <f t="shared" si="18"/>
        <v>1508790733</v>
      </c>
      <c r="S11" s="45">
        <f t="shared" si="19"/>
        <v>23950712</v>
      </c>
      <c r="T11" s="46">
        <f t="shared" si="20"/>
        <v>62.99565261</v>
      </c>
      <c r="U11" s="44">
        <f t="shared" si="21"/>
        <v>1522205211</v>
      </c>
      <c r="V11" s="45">
        <f t="shared" si="22"/>
        <v>28533712</v>
      </c>
      <c r="W11" s="46">
        <f t="shared" si="23"/>
        <v>53.34760549</v>
      </c>
      <c r="X11" s="44">
        <f t="shared" si="24"/>
        <v>1213183185</v>
      </c>
      <c r="Y11" s="45">
        <f t="shared" si="25"/>
        <v>11642656</v>
      </c>
      <c r="Z11" s="46">
        <f t="shared" si="26"/>
        <v>104.201583</v>
      </c>
      <c r="AA11" s="44">
        <f t="shared" si="27"/>
        <v>1612225287</v>
      </c>
      <c r="AB11" s="45">
        <f t="shared" si="28"/>
        <v>32898265</v>
      </c>
      <c r="AC11" s="46">
        <f t="shared" si="29"/>
        <v>49.0063925</v>
      </c>
      <c r="AD11" s="44">
        <f t="shared" si="30"/>
        <v>1193833979</v>
      </c>
      <c r="AE11" s="45">
        <f t="shared" si="31"/>
        <v>23908217</v>
      </c>
      <c r="AF11" s="46">
        <f t="shared" si="32"/>
        <v>49.93404481</v>
      </c>
      <c r="AG11" s="44">
        <f t="shared" si="33"/>
        <v>642447689</v>
      </c>
      <c r="AH11" s="45">
        <f t="shared" si="34"/>
        <v>45597537</v>
      </c>
      <c r="AI11" s="46">
        <f t="shared" si="35"/>
        <v>14.08952613</v>
      </c>
      <c r="AJ11" s="44">
        <f t="shared" si="36"/>
        <v>1653104745</v>
      </c>
      <c r="AK11" s="45">
        <f t="shared" si="37"/>
        <v>22133245</v>
      </c>
      <c r="AL11" s="46">
        <f t="shared" si="38"/>
        <v>74.68876547</v>
      </c>
      <c r="AM11" s="44">
        <f t="shared" si="39"/>
        <v>733801105</v>
      </c>
      <c r="AN11" s="45">
        <f t="shared" si="40"/>
        <v>5425972</v>
      </c>
      <c r="AO11" s="46">
        <f t="shared" si="41"/>
        <v>135.2386457</v>
      </c>
      <c r="AP11" s="44">
        <f t="shared" si="42"/>
        <v>1636332806</v>
      </c>
      <c r="AQ11" s="45">
        <f t="shared" si="43"/>
        <v>10243978</v>
      </c>
      <c r="AR11" s="46">
        <f t="shared" si="44"/>
        <v>159.7360719</v>
      </c>
      <c r="AS11" s="47">
        <f t="shared" si="45"/>
        <v>18334862629</v>
      </c>
      <c r="AT11" s="48">
        <f t="shared" si="46"/>
        <v>1165656305</v>
      </c>
      <c r="AU11" s="47">
        <f t="shared" si="47"/>
        <v>1309633045</v>
      </c>
      <c r="AV11" s="49">
        <f t="shared" si="48"/>
        <v>89665869.59</v>
      </c>
      <c r="AW11" s="47">
        <f t="shared" ref="AW11:AY11" si="63">MIN(C11,F11,I11,L11,O11,R11,U11,X11,AA11,AD11,AG11,AJ11,AM11,AP11)</f>
        <v>642447689</v>
      </c>
      <c r="AX11" s="50">
        <f t="shared" si="63"/>
        <v>4653150</v>
      </c>
      <c r="AY11" s="51">
        <f t="shared" si="63"/>
        <v>14.08952613</v>
      </c>
      <c r="AZ11" s="47">
        <f t="shared" ref="AZ11:BB11" si="64">MAX(C11,F11,I11,L11,O11,R11,U11,X11,AA11,AD11,AG11,AJ11,AM11,AP11)</f>
        <v>1653104745</v>
      </c>
      <c r="BA11" s="50">
        <f t="shared" si="64"/>
        <v>48272636</v>
      </c>
      <c r="BB11" s="48">
        <f t="shared" si="64"/>
        <v>250.5088929</v>
      </c>
      <c r="BC11" s="52"/>
      <c r="BD11" s="52"/>
      <c r="BE11" s="52"/>
      <c r="BF11" s="52"/>
      <c r="BG11" s="52"/>
    </row>
    <row r="12">
      <c r="A12" s="39">
        <v>12.0</v>
      </c>
      <c r="B12" s="40" t="s">
        <v>170</v>
      </c>
      <c r="C12" s="41">
        <f t="shared" si="3"/>
        <v>1966778858</v>
      </c>
      <c r="D12" s="42">
        <f t="shared" si="4"/>
        <v>48995291</v>
      </c>
      <c r="E12" s="43">
        <f t="shared" si="5"/>
        <v>40.14220179</v>
      </c>
      <c r="F12" s="41">
        <f t="shared" si="6"/>
        <v>1773861775</v>
      </c>
      <c r="G12" s="42">
        <f t="shared" si="7"/>
        <v>7002674</v>
      </c>
      <c r="H12" s="43">
        <f t="shared" si="8"/>
        <v>253.3120598</v>
      </c>
      <c r="I12" s="44">
        <f t="shared" si="9"/>
        <v>624677065</v>
      </c>
      <c r="J12" s="45">
        <f t="shared" si="10"/>
        <v>18261939</v>
      </c>
      <c r="K12" s="46">
        <f t="shared" si="11"/>
        <v>34.20650266</v>
      </c>
      <c r="L12" s="44">
        <f t="shared" si="12"/>
        <v>918961264</v>
      </c>
      <c r="M12" s="45">
        <f t="shared" si="13"/>
        <v>12053545</v>
      </c>
      <c r="N12" s="46">
        <f t="shared" si="14"/>
        <v>76.23991647</v>
      </c>
      <c r="O12" s="44">
        <f t="shared" si="15"/>
        <v>732975820</v>
      </c>
      <c r="P12" s="45">
        <f t="shared" si="16"/>
        <v>43238441</v>
      </c>
      <c r="Q12" s="46">
        <f t="shared" si="17"/>
        <v>16.95194838</v>
      </c>
      <c r="R12" s="44">
        <f t="shared" si="18"/>
        <v>911850272</v>
      </c>
      <c r="S12" s="45">
        <f t="shared" si="19"/>
        <v>8754447</v>
      </c>
      <c r="T12" s="46">
        <f t="shared" si="20"/>
        <v>104.1585233</v>
      </c>
      <c r="U12" s="44">
        <f t="shared" si="21"/>
        <v>1743350723</v>
      </c>
      <c r="V12" s="45">
        <f t="shared" si="22"/>
        <v>8942863</v>
      </c>
      <c r="W12" s="46">
        <f t="shared" si="23"/>
        <v>194.9432439</v>
      </c>
      <c r="X12" s="44">
        <f t="shared" si="24"/>
        <v>1836009067</v>
      </c>
      <c r="Y12" s="45">
        <f t="shared" si="25"/>
        <v>23168242</v>
      </c>
      <c r="Z12" s="46">
        <f t="shared" si="26"/>
        <v>79.24680116</v>
      </c>
      <c r="AA12" s="44">
        <f t="shared" si="27"/>
        <v>1736267202</v>
      </c>
      <c r="AB12" s="45">
        <f t="shared" si="28"/>
        <v>13276597</v>
      </c>
      <c r="AC12" s="46">
        <f t="shared" si="29"/>
        <v>130.7765237</v>
      </c>
      <c r="AD12" s="44">
        <f t="shared" si="30"/>
        <v>1036310480</v>
      </c>
      <c r="AE12" s="45">
        <f t="shared" si="31"/>
        <v>11402262</v>
      </c>
      <c r="AF12" s="46">
        <f t="shared" si="32"/>
        <v>90.8863943</v>
      </c>
      <c r="AG12" s="44">
        <f t="shared" si="33"/>
        <v>1240719397</v>
      </c>
      <c r="AH12" s="45">
        <f t="shared" si="34"/>
        <v>9470352</v>
      </c>
      <c r="AI12" s="46">
        <f t="shared" si="35"/>
        <v>131.0109061</v>
      </c>
      <c r="AJ12" s="44">
        <f t="shared" si="36"/>
        <v>126355329</v>
      </c>
      <c r="AK12" s="45">
        <f t="shared" si="37"/>
        <v>13142957</v>
      </c>
      <c r="AL12" s="46">
        <f t="shared" si="38"/>
        <v>9.613919379</v>
      </c>
      <c r="AM12" s="44">
        <f t="shared" si="39"/>
        <v>1552651568</v>
      </c>
      <c r="AN12" s="45">
        <f t="shared" si="40"/>
        <v>27567962</v>
      </c>
      <c r="AO12" s="46">
        <f t="shared" si="41"/>
        <v>56.3208687</v>
      </c>
      <c r="AP12" s="44">
        <f t="shared" si="42"/>
        <v>1121595707</v>
      </c>
      <c r="AQ12" s="45">
        <f t="shared" si="43"/>
        <v>32958744</v>
      </c>
      <c r="AR12" s="46">
        <f t="shared" si="44"/>
        <v>34.03029275</v>
      </c>
      <c r="AS12" s="47">
        <f t="shared" si="45"/>
        <v>17322364527</v>
      </c>
      <c r="AT12" s="48">
        <f t="shared" si="46"/>
        <v>732976978.6</v>
      </c>
      <c r="AU12" s="47">
        <f t="shared" si="47"/>
        <v>1237311752</v>
      </c>
      <c r="AV12" s="49">
        <f t="shared" si="48"/>
        <v>56382844.51</v>
      </c>
      <c r="AW12" s="47">
        <f t="shared" ref="AW12:AY12" si="65">MIN(C12,F12,I12,L12,O12,R12,U12,X12,AA12,AD12,AG12,AJ12,AM12,AP12)</f>
        <v>126355329</v>
      </c>
      <c r="AX12" s="50">
        <f t="shared" si="65"/>
        <v>7002674</v>
      </c>
      <c r="AY12" s="51">
        <f t="shared" si="65"/>
        <v>9.613919379</v>
      </c>
      <c r="AZ12" s="47">
        <f t="shared" ref="AZ12:BB12" si="66">MAX(C12,F12,I12,L12,O12,R12,U12,X12,AA12,AD12,AG12,AJ12,AM12,AP12)</f>
        <v>1966778858</v>
      </c>
      <c r="BA12" s="50">
        <f t="shared" si="66"/>
        <v>48995291</v>
      </c>
      <c r="BB12" s="48">
        <f t="shared" si="66"/>
        <v>253.3120598</v>
      </c>
      <c r="BC12" s="52"/>
      <c r="BD12" s="52"/>
      <c r="BE12" s="52"/>
      <c r="BF12" s="52"/>
      <c r="BG12" s="52"/>
    </row>
    <row r="13">
      <c r="A13" s="39">
        <v>13.0</v>
      </c>
      <c r="B13" s="40" t="s">
        <v>171</v>
      </c>
      <c r="C13" s="41">
        <f t="shared" si="3"/>
        <v>1889134717</v>
      </c>
      <c r="D13" s="42">
        <f t="shared" si="4"/>
        <v>26058186</v>
      </c>
      <c r="E13" s="43">
        <f t="shared" si="5"/>
        <v>72.49678535</v>
      </c>
      <c r="F13" s="41">
        <f t="shared" si="6"/>
        <v>1806913978</v>
      </c>
      <c r="G13" s="42">
        <f t="shared" si="7"/>
        <v>36888306</v>
      </c>
      <c r="H13" s="43">
        <f t="shared" si="8"/>
        <v>48.98338183</v>
      </c>
      <c r="I13" s="44">
        <f t="shared" si="9"/>
        <v>37303394</v>
      </c>
      <c r="J13" s="45">
        <f t="shared" si="10"/>
        <v>1689025</v>
      </c>
      <c r="K13" s="46">
        <f t="shared" si="11"/>
        <v>22.08575598</v>
      </c>
      <c r="L13" s="44">
        <f t="shared" si="12"/>
        <v>519688584</v>
      </c>
      <c r="M13" s="45">
        <f t="shared" si="13"/>
        <v>39210834</v>
      </c>
      <c r="N13" s="46">
        <f t="shared" si="14"/>
        <v>13.25369881</v>
      </c>
      <c r="O13" s="44">
        <f t="shared" si="15"/>
        <v>595172287</v>
      </c>
      <c r="P13" s="45">
        <f t="shared" si="16"/>
        <v>31312384</v>
      </c>
      <c r="Q13" s="46">
        <f t="shared" si="17"/>
        <v>19.0075686</v>
      </c>
      <c r="R13" s="44">
        <f t="shared" si="18"/>
        <v>409374445</v>
      </c>
      <c r="S13" s="45">
        <f t="shared" si="19"/>
        <v>37080244</v>
      </c>
      <c r="T13" s="46">
        <f t="shared" si="20"/>
        <v>11.04023061</v>
      </c>
      <c r="U13" s="44">
        <f t="shared" si="21"/>
        <v>251895454</v>
      </c>
      <c r="V13" s="45">
        <f t="shared" si="22"/>
        <v>37416994</v>
      </c>
      <c r="W13" s="46">
        <f t="shared" si="23"/>
        <v>6.732113595</v>
      </c>
      <c r="X13" s="44">
        <f t="shared" si="24"/>
        <v>953734509</v>
      </c>
      <c r="Y13" s="45">
        <f t="shared" si="25"/>
        <v>18412782</v>
      </c>
      <c r="Z13" s="46">
        <f t="shared" si="26"/>
        <v>51.79741492</v>
      </c>
      <c r="AA13" s="44">
        <f t="shared" si="27"/>
        <v>1198487878</v>
      </c>
      <c r="AB13" s="45">
        <f t="shared" si="28"/>
        <v>37130175</v>
      </c>
      <c r="AC13" s="46">
        <f t="shared" si="29"/>
        <v>32.27800241</v>
      </c>
      <c r="AD13" s="44">
        <f t="shared" si="30"/>
        <v>1956463202</v>
      </c>
      <c r="AE13" s="45">
        <f t="shared" si="31"/>
        <v>28954235</v>
      </c>
      <c r="AF13" s="46">
        <f t="shared" si="32"/>
        <v>67.57088219</v>
      </c>
      <c r="AG13" s="44">
        <f t="shared" si="33"/>
        <v>1607694918</v>
      </c>
      <c r="AH13" s="45">
        <f t="shared" si="34"/>
        <v>13761246</v>
      </c>
      <c r="AI13" s="46">
        <f t="shared" si="35"/>
        <v>116.8277144</v>
      </c>
      <c r="AJ13" s="44">
        <f t="shared" si="36"/>
        <v>971251201</v>
      </c>
      <c r="AK13" s="45">
        <f t="shared" si="37"/>
        <v>42040602</v>
      </c>
      <c r="AL13" s="46">
        <f t="shared" si="38"/>
        <v>23.10269489</v>
      </c>
      <c r="AM13" s="44">
        <f t="shared" si="39"/>
        <v>1101450019</v>
      </c>
      <c r="AN13" s="45">
        <f t="shared" si="40"/>
        <v>12043368</v>
      </c>
      <c r="AO13" s="46">
        <f t="shared" si="41"/>
        <v>91.45697607</v>
      </c>
      <c r="AP13" s="44">
        <f t="shared" si="42"/>
        <v>950164165</v>
      </c>
      <c r="AQ13" s="45">
        <f t="shared" si="43"/>
        <v>20634448</v>
      </c>
      <c r="AR13" s="46">
        <f t="shared" si="44"/>
        <v>46.04747193</v>
      </c>
      <c r="AS13" s="47">
        <f t="shared" si="45"/>
        <v>14248728751</v>
      </c>
      <c r="AT13" s="48">
        <f t="shared" si="46"/>
        <v>595172877.4</v>
      </c>
      <c r="AU13" s="47">
        <f t="shared" si="47"/>
        <v>1017766340</v>
      </c>
      <c r="AV13" s="49">
        <f t="shared" si="48"/>
        <v>45782529.03</v>
      </c>
      <c r="AW13" s="47">
        <f t="shared" ref="AW13:AY13" si="67">MIN(C13,F13,I13,L13,O13,R13,U13,X13,AA13,AD13,AG13,AJ13,AM13,AP13)</f>
        <v>37303394</v>
      </c>
      <c r="AX13" s="50">
        <f t="shared" si="67"/>
        <v>1689025</v>
      </c>
      <c r="AY13" s="51">
        <f t="shared" si="67"/>
        <v>6.732113595</v>
      </c>
      <c r="AZ13" s="47">
        <f t="shared" ref="AZ13:BB13" si="68">MAX(C13,F13,I13,L13,O13,R13,U13,X13,AA13,AD13,AG13,AJ13,AM13,AP13)</f>
        <v>1956463202</v>
      </c>
      <c r="BA13" s="50">
        <f t="shared" si="68"/>
        <v>42040602</v>
      </c>
      <c r="BB13" s="48">
        <f t="shared" si="68"/>
        <v>116.8277144</v>
      </c>
      <c r="BC13" s="52"/>
      <c r="BD13" s="52"/>
      <c r="BE13" s="52"/>
      <c r="BF13" s="52"/>
      <c r="BG13" s="52"/>
    </row>
    <row r="14">
      <c r="A14" s="39">
        <v>14.0</v>
      </c>
      <c r="B14" s="40" t="s">
        <v>172</v>
      </c>
      <c r="C14" s="41">
        <f t="shared" si="3"/>
        <v>151021835</v>
      </c>
      <c r="D14" s="42">
        <f t="shared" si="4"/>
        <v>49687703</v>
      </c>
      <c r="E14" s="43">
        <f t="shared" si="5"/>
        <v>3.03942074</v>
      </c>
      <c r="F14" s="41">
        <f t="shared" si="6"/>
        <v>45755125</v>
      </c>
      <c r="G14" s="42">
        <f t="shared" si="7"/>
        <v>25098636</v>
      </c>
      <c r="H14" s="43">
        <f t="shared" si="8"/>
        <v>1.823012414</v>
      </c>
      <c r="I14" s="44">
        <f t="shared" si="9"/>
        <v>1983649585</v>
      </c>
      <c r="J14" s="45">
        <f t="shared" si="10"/>
        <v>16425877</v>
      </c>
      <c r="K14" s="46">
        <f t="shared" si="11"/>
        <v>120.7636941</v>
      </c>
      <c r="L14" s="44">
        <f t="shared" si="12"/>
        <v>254751347</v>
      </c>
      <c r="M14" s="45">
        <f t="shared" si="13"/>
        <v>26636557</v>
      </c>
      <c r="N14" s="46">
        <f t="shared" si="14"/>
        <v>9.563974315</v>
      </c>
      <c r="O14" s="44">
        <f t="shared" si="15"/>
        <v>678423615</v>
      </c>
      <c r="P14" s="45">
        <f t="shared" si="16"/>
        <v>48147565</v>
      </c>
      <c r="Q14" s="46">
        <f t="shared" si="17"/>
        <v>14.09050728</v>
      </c>
      <c r="R14" s="44">
        <f t="shared" si="18"/>
        <v>1467182430</v>
      </c>
      <c r="S14" s="45">
        <f t="shared" si="19"/>
        <v>40354062</v>
      </c>
      <c r="T14" s="46">
        <f t="shared" si="20"/>
        <v>36.35773841</v>
      </c>
      <c r="U14" s="44">
        <f t="shared" si="21"/>
        <v>236996868</v>
      </c>
      <c r="V14" s="45">
        <f t="shared" si="22"/>
        <v>49039354</v>
      </c>
      <c r="W14" s="46">
        <f t="shared" si="23"/>
        <v>4.832789355</v>
      </c>
      <c r="X14" s="44">
        <f t="shared" si="24"/>
        <v>403726502</v>
      </c>
      <c r="Y14" s="45">
        <f t="shared" si="25"/>
        <v>1904987</v>
      </c>
      <c r="Z14" s="46">
        <f t="shared" si="26"/>
        <v>211.9313686</v>
      </c>
      <c r="AA14" s="44">
        <f t="shared" si="27"/>
        <v>1741721859</v>
      </c>
      <c r="AB14" s="45">
        <f t="shared" si="28"/>
        <v>29260252</v>
      </c>
      <c r="AC14" s="46">
        <f t="shared" si="29"/>
        <v>59.52518314</v>
      </c>
      <c r="AD14" s="44">
        <f t="shared" si="30"/>
        <v>1450781886</v>
      </c>
      <c r="AE14" s="45">
        <f t="shared" si="31"/>
        <v>2262260</v>
      </c>
      <c r="AF14" s="46">
        <f t="shared" si="32"/>
        <v>641.29759</v>
      </c>
      <c r="AG14" s="44">
        <f t="shared" si="33"/>
        <v>82033841</v>
      </c>
      <c r="AH14" s="45">
        <f t="shared" si="34"/>
        <v>5568674</v>
      </c>
      <c r="AI14" s="46">
        <f t="shared" si="35"/>
        <v>14.73130605</v>
      </c>
      <c r="AJ14" s="44">
        <f t="shared" si="36"/>
        <v>1668517088</v>
      </c>
      <c r="AK14" s="45">
        <f t="shared" si="37"/>
        <v>43375501</v>
      </c>
      <c r="AL14" s="46">
        <f t="shared" si="38"/>
        <v>38.46680844</v>
      </c>
      <c r="AM14" s="44">
        <f t="shared" si="39"/>
        <v>605205309</v>
      </c>
      <c r="AN14" s="45">
        <f t="shared" si="40"/>
        <v>22285866</v>
      </c>
      <c r="AO14" s="46">
        <f t="shared" si="41"/>
        <v>27.15646361</v>
      </c>
      <c r="AP14" s="44">
        <f t="shared" si="42"/>
        <v>1595026772</v>
      </c>
      <c r="AQ14" s="45">
        <f t="shared" si="43"/>
        <v>11468997</v>
      </c>
      <c r="AR14" s="46">
        <f t="shared" si="44"/>
        <v>139.0729086</v>
      </c>
      <c r="AS14" s="47">
        <f t="shared" si="45"/>
        <v>12364794062</v>
      </c>
      <c r="AT14" s="48">
        <f t="shared" si="46"/>
        <v>678424914</v>
      </c>
      <c r="AU14" s="47">
        <f t="shared" si="47"/>
        <v>883199576</v>
      </c>
      <c r="AV14" s="49">
        <f t="shared" si="48"/>
        <v>52186531.85</v>
      </c>
      <c r="AW14" s="47">
        <f t="shared" ref="AW14:AY14" si="69">MIN(C14,F14,I14,L14,O14,R14,U14,X14,AA14,AD14,AG14,AJ14,AM14,AP14)</f>
        <v>45755125</v>
      </c>
      <c r="AX14" s="50">
        <f t="shared" si="69"/>
        <v>1904987</v>
      </c>
      <c r="AY14" s="51">
        <f t="shared" si="69"/>
        <v>1.823012414</v>
      </c>
      <c r="AZ14" s="47">
        <f t="shared" ref="AZ14:BB14" si="70">MAX(C14,F14,I14,L14,O14,R14,U14,X14,AA14,AD14,AG14,AJ14,AM14,AP14)</f>
        <v>1983649585</v>
      </c>
      <c r="BA14" s="50">
        <f t="shared" si="70"/>
        <v>49687703</v>
      </c>
      <c r="BB14" s="48">
        <f t="shared" si="70"/>
        <v>641.29759</v>
      </c>
      <c r="BC14" s="52"/>
      <c r="BD14" s="52"/>
      <c r="BE14" s="52"/>
      <c r="BF14" s="52"/>
      <c r="BG14" s="52"/>
    </row>
    <row r="15">
      <c r="A15" s="39">
        <v>15.0</v>
      </c>
      <c r="B15" s="40" t="s">
        <v>173</v>
      </c>
      <c r="C15" s="41">
        <f t="shared" si="3"/>
        <v>1284889633</v>
      </c>
      <c r="D15" s="42">
        <f t="shared" si="4"/>
        <v>10485497</v>
      </c>
      <c r="E15" s="43">
        <f t="shared" si="5"/>
        <v>122.5396977</v>
      </c>
      <c r="F15" s="41">
        <f t="shared" si="6"/>
        <v>1031779946</v>
      </c>
      <c r="G15" s="42">
        <f t="shared" si="7"/>
        <v>20290603</v>
      </c>
      <c r="H15" s="43">
        <f t="shared" si="8"/>
        <v>50.85013718</v>
      </c>
      <c r="I15" s="44">
        <f t="shared" si="9"/>
        <v>1058736911</v>
      </c>
      <c r="J15" s="45">
        <f t="shared" si="10"/>
        <v>49125075</v>
      </c>
      <c r="K15" s="46">
        <f t="shared" si="11"/>
        <v>21.5518635</v>
      </c>
      <c r="L15" s="44">
        <f t="shared" si="12"/>
        <v>624712698</v>
      </c>
      <c r="M15" s="45">
        <f t="shared" si="13"/>
        <v>13665604</v>
      </c>
      <c r="N15" s="46">
        <f t="shared" si="14"/>
        <v>45.71423978</v>
      </c>
      <c r="O15" s="44">
        <f t="shared" si="15"/>
        <v>1046110132</v>
      </c>
      <c r="P15" s="45">
        <f t="shared" si="16"/>
        <v>43750457</v>
      </c>
      <c r="Q15" s="46">
        <f t="shared" si="17"/>
        <v>23.91083897</v>
      </c>
      <c r="R15" s="44">
        <f t="shared" si="18"/>
        <v>64941930</v>
      </c>
      <c r="S15" s="45">
        <f t="shared" si="19"/>
        <v>47309991</v>
      </c>
      <c r="T15" s="46">
        <f t="shared" si="20"/>
        <v>1.372689545</v>
      </c>
      <c r="U15" s="44">
        <f t="shared" si="21"/>
        <v>983009672</v>
      </c>
      <c r="V15" s="45">
        <f t="shared" si="22"/>
        <v>38617364</v>
      </c>
      <c r="W15" s="46">
        <f t="shared" si="23"/>
        <v>25.45512097</v>
      </c>
      <c r="X15" s="44">
        <f t="shared" si="24"/>
        <v>1288472474</v>
      </c>
      <c r="Y15" s="45">
        <f t="shared" si="25"/>
        <v>43861300</v>
      </c>
      <c r="Z15" s="46">
        <f t="shared" si="26"/>
        <v>29.37606669</v>
      </c>
      <c r="AA15" s="44">
        <f t="shared" si="27"/>
        <v>1884759058</v>
      </c>
      <c r="AB15" s="45">
        <f t="shared" si="28"/>
        <v>17037061</v>
      </c>
      <c r="AC15" s="46">
        <f t="shared" si="29"/>
        <v>110.6270065</v>
      </c>
      <c r="AD15" s="44">
        <f t="shared" si="30"/>
        <v>528274293</v>
      </c>
      <c r="AE15" s="45">
        <f t="shared" si="31"/>
        <v>40092594</v>
      </c>
      <c r="AF15" s="46">
        <f t="shared" si="32"/>
        <v>13.17635604</v>
      </c>
      <c r="AG15" s="44">
        <f t="shared" si="33"/>
        <v>731781019</v>
      </c>
      <c r="AH15" s="45">
        <f t="shared" si="34"/>
        <v>12229486</v>
      </c>
      <c r="AI15" s="46">
        <f t="shared" si="35"/>
        <v>59.83743053</v>
      </c>
      <c r="AJ15" s="44">
        <f t="shared" si="36"/>
        <v>1641962229</v>
      </c>
      <c r="AK15" s="45">
        <f t="shared" si="37"/>
        <v>25396085</v>
      </c>
      <c r="AL15" s="46">
        <f t="shared" si="38"/>
        <v>64.65414764</v>
      </c>
      <c r="AM15" s="44">
        <f t="shared" si="39"/>
        <v>1606005697</v>
      </c>
      <c r="AN15" s="45">
        <f t="shared" si="40"/>
        <v>13804436</v>
      </c>
      <c r="AO15" s="46">
        <f t="shared" si="41"/>
        <v>116.3398271</v>
      </c>
      <c r="AP15" s="44">
        <f t="shared" si="42"/>
        <v>62868348</v>
      </c>
      <c r="AQ15" s="45">
        <f t="shared" si="43"/>
        <v>23813143</v>
      </c>
      <c r="AR15" s="46">
        <f t="shared" si="44"/>
        <v>2.64006931</v>
      </c>
      <c r="AS15" s="47">
        <f t="shared" si="45"/>
        <v>13838304040</v>
      </c>
      <c r="AT15" s="48">
        <f t="shared" si="46"/>
        <v>1046110750</v>
      </c>
      <c r="AU15" s="47">
        <f t="shared" si="47"/>
        <v>988450289</v>
      </c>
      <c r="AV15" s="49">
        <f t="shared" si="48"/>
        <v>80470057.72</v>
      </c>
      <c r="AW15" s="47">
        <f t="shared" ref="AW15:AY15" si="71">MIN(C15,F15,I15,L15,O15,R15,U15,X15,AA15,AD15,AG15,AJ15,AM15,AP15)</f>
        <v>62868348</v>
      </c>
      <c r="AX15" s="50">
        <f t="shared" si="71"/>
        <v>10485497</v>
      </c>
      <c r="AY15" s="51">
        <f t="shared" si="71"/>
        <v>1.372689545</v>
      </c>
      <c r="AZ15" s="47">
        <f t="shared" ref="AZ15:BB15" si="72">MAX(C15,F15,I15,L15,O15,R15,U15,X15,AA15,AD15,AG15,AJ15,AM15,AP15)</f>
        <v>1884759058</v>
      </c>
      <c r="BA15" s="50">
        <f t="shared" si="72"/>
        <v>49125075</v>
      </c>
      <c r="BB15" s="48">
        <f t="shared" si="72"/>
        <v>122.5396977</v>
      </c>
      <c r="BC15" s="52"/>
      <c r="BD15" s="52"/>
      <c r="BE15" s="52"/>
      <c r="BF15" s="52"/>
      <c r="BG15" s="52"/>
    </row>
    <row r="16">
      <c r="A16" s="39">
        <v>16.0</v>
      </c>
      <c r="B16" s="40" t="s">
        <v>174</v>
      </c>
      <c r="C16" s="41">
        <f t="shared" si="3"/>
        <v>1250302591</v>
      </c>
      <c r="D16" s="42">
        <f t="shared" si="4"/>
        <v>20784059</v>
      </c>
      <c r="E16" s="43">
        <f t="shared" si="5"/>
        <v>60.15680532</v>
      </c>
      <c r="F16" s="41">
        <f t="shared" si="6"/>
        <v>1412028999</v>
      </c>
      <c r="G16" s="42">
        <f t="shared" si="7"/>
        <v>10161219</v>
      </c>
      <c r="H16" s="43">
        <f t="shared" si="8"/>
        <v>138.9625594</v>
      </c>
      <c r="I16" s="44">
        <f t="shared" si="9"/>
        <v>346313970</v>
      </c>
      <c r="J16" s="45">
        <f t="shared" si="10"/>
        <v>44212032</v>
      </c>
      <c r="K16" s="46">
        <f t="shared" si="11"/>
        <v>7.833025408</v>
      </c>
      <c r="L16" s="44">
        <f t="shared" si="12"/>
        <v>1013551717</v>
      </c>
      <c r="M16" s="45">
        <f t="shared" si="13"/>
        <v>43390598</v>
      </c>
      <c r="N16" s="46">
        <f t="shared" si="14"/>
        <v>23.35878655</v>
      </c>
      <c r="O16" s="44">
        <f t="shared" si="15"/>
        <v>741282937</v>
      </c>
      <c r="P16" s="45">
        <f t="shared" si="16"/>
        <v>38655818</v>
      </c>
      <c r="Q16" s="46">
        <f t="shared" si="17"/>
        <v>19.17649077</v>
      </c>
      <c r="R16" s="44">
        <f t="shared" si="18"/>
        <v>208859921</v>
      </c>
      <c r="S16" s="45">
        <f t="shared" si="19"/>
        <v>49691955</v>
      </c>
      <c r="T16" s="46">
        <f t="shared" si="20"/>
        <v>4.203093257</v>
      </c>
      <c r="U16" s="44">
        <f t="shared" si="21"/>
        <v>1811562122</v>
      </c>
      <c r="V16" s="45">
        <f t="shared" si="22"/>
        <v>11624196</v>
      </c>
      <c r="W16" s="46">
        <f t="shared" si="23"/>
        <v>155.8440792</v>
      </c>
      <c r="X16" s="44">
        <f t="shared" si="24"/>
        <v>181102461</v>
      </c>
      <c r="Y16" s="45">
        <f t="shared" si="25"/>
        <v>30754473</v>
      </c>
      <c r="Z16" s="46">
        <f t="shared" si="26"/>
        <v>5.888654343</v>
      </c>
      <c r="AA16" s="44">
        <f t="shared" si="27"/>
        <v>1888346045</v>
      </c>
      <c r="AB16" s="45">
        <f t="shared" si="28"/>
        <v>47522382</v>
      </c>
      <c r="AC16" s="46">
        <f t="shared" si="29"/>
        <v>39.73593001</v>
      </c>
      <c r="AD16" s="44">
        <f t="shared" si="30"/>
        <v>521518035</v>
      </c>
      <c r="AE16" s="45">
        <f t="shared" si="31"/>
        <v>49249287</v>
      </c>
      <c r="AF16" s="46">
        <f t="shared" si="32"/>
        <v>10.58935198</v>
      </c>
      <c r="AG16" s="44">
        <f t="shared" si="33"/>
        <v>1725856825</v>
      </c>
      <c r="AH16" s="45">
        <f t="shared" si="34"/>
        <v>37646070</v>
      </c>
      <c r="AI16" s="46">
        <f t="shared" si="35"/>
        <v>45.84427604</v>
      </c>
      <c r="AJ16" s="44">
        <f t="shared" si="36"/>
        <v>1371454248</v>
      </c>
      <c r="AK16" s="45">
        <f t="shared" si="37"/>
        <v>29155150</v>
      </c>
      <c r="AL16" s="46">
        <f t="shared" si="38"/>
        <v>47.03986253</v>
      </c>
      <c r="AM16" s="44">
        <f t="shared" si="39"/>
        <v>904065038</v>
      </c>
      <c r="AN16" s="45">
        <f t="shared" si="40"/>
        <v>31007113</v>
      </c>
      <c r="AO16" s="46">
        <f t="shared" si="41"/>
        <v>29.15669827</v>
      </c>
      <c r="AP16" s="44">
        <f t="shared" si="42"/>
        <v>904346944</v>
      </c>
      <c r="AQ16" s="45">
        <f t="shared" si="43"/>
        <v>43156430</v>
      </c>
      <c r="AR16" s="46">
        <f t="shared" si="44"/>
        <v>20.95509161</v>
      </c>
      <c r="AS16" s="47">
        <f t="shared" si="45"/>
        <v>14280591853</v>
      </c>
      <c r="AT16" s="48">
        <f t="shared" si="46"/>
        <v>741283503.2</v>
      </c>
      <c r="AU16" s="47">
        <f t="shared" si="47"/>
        <v>1020042276</v>
      </c>
      <c r="AV16" s="49">
        <f t="shared" si="48"/>
        <v>57021807.94</v>
      </c>
      <c r="AW16" s="47">
        <f t="shared" ref="AW16:AY16" si="73">MIN(C16,F16,I16,L16,O16,R16,U16,X16,AA16,AD16,AG16,AJ16,AM16,AP16)</f>
        <v>181102461</v>
      </c>
      <c r="AX16" s="50">
        <f t="shared" si="73"/>
        <v>10161219</v>
      </c>
      <c r="AY16" s="51">
        <f t="shared" si="73"/>
        <v>4.203093257</v>
      </c>
      <c r="AZ16" s="47">
        <f t="shared" ref="AZ16:BB16" si="74">MAX(C16,F16,I16,L16,O16,R16,U16,X16,AA16,AD16,AG16,AJ16,AM16,AP16)</f>
        <v>1888346045</v>
      </c>
      <c r="BA16" s="50">
        <f t="shared" si="74"/>
        <v>49691955</v>
      </c>
      <c r="BB16" s="48">
        <f t="shared" si="74"/>
        <v>155.8440792</v>
      </c>
      <c r="BC16" s="52"/>
      <c r="BD16" s="52"/>
      <c r="BE16" s="52"/>
      <c r="BF16" s="52"/>
      <c r="BG16" s="52"/>
    </row>
    <row r="17">
      <c r="A17" s="39">
        <v>17.0</v>
      </c>
      <c r="B17" s="40" t="s">
        <v>175</v>
      </c>
      <c r="C17" s="41">
        <f t="shared" si="3"/>
        <v>585405508</v>
      </c>
      <c r="D17" s="42">
        <f t="shared" si="4"/>
        <v>27602049</v>
      </c>
      <c r="E17" s="43">
        <f t="shared" si="5"/>
        <v>21.20876997</v>
      </c>
      <c r="F17" s="41">
        <f t="shared" si="6"/>
        <v>1048360622</v>
      </c>
      <c r="G17" s="42">
        <f t="shared" si="7"/>
        <v>40168253</v>
      </c>
      <c r="H17" s="43">
        <f t="shared" si="8"/>
        <v>26.09923369</v>
      </c>
      <c r="I17" s="44">
        <f t="shared" si="9"/>
        <v>1185687866</v>
      </c>
      <c r="J17" s="45">
        <f t="shared" si="10"/>
        <v>3167599</v>
      </c>
      <c r="K17" s="46">
        <f t="shared" si="11"/>
        <v>374.3175402</v>
      </c>
      <c r="L17" s="44">
        <f t="shared" si="12"/>
        <v>1749324969</v>
      </c>
      <c r="M17" s="45">
        <f t="shared" si="13"/>
        <v>23521118</v>
      </c>
      <c r="N17" s="46">
        <f t="shared" si="14"/>
        <v>74.37252638</v>
      </c>
      <c r="O17" s="44">
        <f t="shared" si="15"/>
        <v>1766131201</v>
      </c>
      <c r="P17" s="45">
        <f t="shared" si="16"/>
        <v>24888034</v>
      </c>
      <c r="Q17" s="46">
        <f t="shared" si="17"/>
        <v>70.96306607</v>
      </c>
      <c r="R17" s="44">
        <f t="shared" si="18"/>
        <v>1854780482</v>
      </c>
      <c r="S17" s="45">
        <f t="shared" si="19"/>
        <v>2652261</v>
      </c>
      <c r="T17" s="46">
        <f t="shared" si="20"/>
        <v>699.3204975</v>
      </c>
      <c r="U17" s="44">
        <f t="shared" si="21"/>
        <v>1213751377</v>
      </c>
      <c r="V17" s="45">
        <f t="shared" si="22"/>
        <v>34031579</v>
      </c>
      <c r="W17" s="46">
        <f t="shared" si="23"/>
        <v>35.66544406</v>
      </c>
      <c r="X17" s="44">
        <f t="shared" si="24"/>
        <v>1830248100</v>
      </c>
      <c r="Y17" s="45">
        <f t="shared" si="25"/>
        <v>25638101</v>
      </c>
      <c r="Z17" s="46">
        <f t="shared" si="26"/>
        <v>71.38781847</v>
      </c>
      <c r="AA17" s="44">
        <f t="shared" si="27"/>
        <v>721032098</v>
      </c>
      <c r="AB17" s="45">
        <f t="shared" si="28"/>
        <v>37911386</v>
      </c>
      <c r="AC17" s="46">
        <f t="shared" si="29"/>
        <v>19.01887992</v>
      </c>
      <c r="AD17" s="44">
        <f t="shared" si="30"/>
        <v>290597682</v>
      </c>
      <c r="AE17" s="45">
        <f t="shared" si="31"/>
        <v>43202167</v>
      </c>
      <c r="AF17" s="46">
        <f t="shared" si="32"/>
        <v>6.726460781</v>
      </c>
      <c r="AG17" s="44">
        <f t="shared" si="33"/>
        <v>1377146944</v>
      </c>
      <c r="AH17" s="45">
        <f t="shared" si="34"/>
        <v>7933708</v>
      </c>
      <c r="AI17" s="46">
        <f t="shared" si="35"/>
        <v>173.5817532</v>
      </c>
      <c r="AJ17" s="44">
        <f t="shared" si="36"/>
        <v>1355930894</v>
      </c>
      <c r="AK17" s="45">
        <f t="shared" si="37"/>
        <v>11565465</v>
      </c>
      <c r="AL17" s="46">
        <f t="shared" si="38"/>
        <v>117.2396349</v>
      </c>
      <c r="AM17" s="44">
        <f t="shared" si="39"/>
        <v>292485828</v>
      </c>
      <c r="AN17" s="45">
        <f t="shared" si="40"/>
        <v>4964785</v>
      </c>
      <c r="AO17" s="46">
        <f t="shared" si="41"/>
        <v>58.9120834</v>
      </c>
      <c r="AP17" s="44">
        <f t="shared" si="42"/>
        <v>1001125951</v>
      </c>
      <c r="AQ17" s="45">
        <f t="shared" si="43"/>
        <v>33019433</v>
      </c>
      <c r="AR17" s="46">
        <f t="shared" si="44"/>
        <v>30.31929564</v>
      </c>
      <c r="AS17" s="47">
        <f t="shared" si="45"/>
        <v>16272009522</v>
      </c>
      <c r="AT17" s="48">
        <f t="shared" si="46"/>
        <v>1766132835</v>
      </c>
      <c r="AU17" s="47">
        <f t="shared" si="47"/>
        <v>1162286395</v>
      </c>
      <c r="AV17" s="49">
        <f t="shared" si="48"/>
        <v>135856371.9</v>
      </c>
      <c r="AW17" s="47">
        <f t="shared" ref="AW17:AY17" si="75">MIN(C17,F17,I17,L17,O17,R17,U17,X17,AA17,AD17,AG17,AJ17,AM17,AP17)</f>
        <v>290597682</v>
      </c>
      <c r="AX17" s="50">
        <f t="shared" si="75"/>
        <v>2652261</v>
      </c>
      <c r="AY17" s="51">
        <f t="shared" si="75"/>
        <v>6.726460781</v>
      </c>
      <c r="AZ17" s="47">
        <f t="shared" ref="AZ17:BB17" si="76">MAX(C17,F17,I17,L17,O17,R17,U17,X17,AA17,AD17,AG17,AJ17,AM17,AP17)</f>
        <v>1854780482</v>
      </c>
      <c r="BA17" s="50">
        <f t="shared" si="76"/>
        <v>43202167</v>
      </c>
      <c r="BB17" s="48">
        <f t="shared" si="76"/>
        <v>699.3204975</v>
      </c>
      <c r="BC17" s="52"/>
      <c r="BD17" s="52"/>
      <c r="BE17" s="52"/>
      <c r="BF17" s="52"/>
      <c r="BG17" s="52"/>
    </row>
    <row r="18">
      <c r="A18" s="39">
        <v>18.0</v>
      </c>
      <c r="B18" s="40" t="s">
        <v>176</v>
      </c>
      <c r="C18" s="41">
        <f t="shared" si="3"/>
        <v>204382756</v>
      </c>
      <c r="D18" s="42">
        <f t="shared" si="4"/>
        <v>18897758</v>
      </c>
      <c r="E18" s="43">
        <f t="shared" si="5"/>
        <v>10.81518538</v>
      </c>
      <c r="F18" s="41">
        <f t="shared" si="6"/>
        <v>14754704</v>
      </c>
      <c r="G18" s="42">
        <f t="shared" si="7"/>
        <v>40719236</v>
      </c>
      <c r="H18" s="43">
        <f t="shared" si="8"/>
        <v>0.3623521817</v>
      </c>
      <c r="I18" s="44">
        <f t="shared" si="9"/>
        <v>1586665160</v>
      </c>
      <c r="J18" s="45">
        <f t="shared" si="10"/>
        <v>4157230</v>
      </c>
      <c r="K18" s="46">
        <f t="shared" si="11"/>
        <v>381.6640311</v>
      </c>
      <c r="L18" s="44">
        <f t="shared" si="12"/>
        <v>676840451</v>
      </c>
      <c r="M18" s="45">
        <f t="shared" si="13"/>
        <v>32915394</v>
      </c>
      <c r="N18" s="46">
        <f t="shared" si="14"/>
        <v>20.56303658</v>
      </c>
      <c r="O18" s="44">
        <f t="shared" si="15"/>
        <v>215416603</v>
      </c>
      <c r="P18" s="45">
        <f t="shared" si="16"/>
        <v>28850315</v>
      </c>
      <c r="Q18" s="46">
        <f t="shared" si="17"/>
        <v>7.466698475</v>
      </c>
      <c r="R18" s="44">
        <f t="shared" si="18"/>
        <v>103461562</v>
      </c>
      <c r="S18" s="45">
        <f t="shared" si="19"/>
        <v>18827958</v>
      </c>
      <c r="T18" s="46">
        <f t="shared" si="20"/>
        <v>5.495102655</v>
      </c>
      <c r="U18" s="44">
        <f t="shared" si="21"/>
        <v>1421370329</v>
      </c>
      <c r="V18" s="45">
        <f t="shared" si="22"/>
        <v>6229982</v>
      </c>
      <c r="W18" s="46">
        <f t="shared" si="23"/>
        <v>228.1499897</v>
      </c>
      <c r="X18" s="44">
        <f t="shared" si="24"/>
        <v>355143862</v>
      </c>
      <c r="Y18" s="45">
        <f t="shared" si="25"/>
        <v>32398037</v>
      </c>
      <c r="Z18" s="46">
        <f t="shared" si="26"/>
        <v>10.96189445</v>
      </c>
      <c r="AA18" s="44">
        <f t="shared" si="27"/>
        <v>103103148</v>
      </c>
      <c r="AB18" s="45">
        <f t="shared" si="28"/>
        <v>43352133</v>
      </c>
      <c r="AC18" s="46">
        <f t="shared" si="29"/>
        <v>2.37827163</v>
      </c>
      <c r="AD18" s="44">
        <f t="shared" si="30"/>
        <v>1440730373</v>
      </c>
      <c r="AE18" s="45">
        <f t="shared" si="31"/>
        <v>13666120</v>
      </c>
      <c r="AF18" s="46">
        <f t="shared" si="32"/>
        <v>105.4235125</v>
      </c>
      <c r="AG18" s="44">
        <f t="shared" si="33"/>
        <v>1208951416</v>
      </c>
      <c r="AH18" s="45">
        <f t="shared" si="34"/>
        <v>24902664</v>
      </c>
      <c r="AI18" s="46">
        <f t="shared" si="35"/>
        <v>48.54707175</v>
      </c>
      <c r="AJ18" s="44">
        <f t="shared" si="36"/>
        <v>620423549</v>
      </c>
      <c r="AK18" s="45">
        <f t="shared" si="37"/>
        <v>16428679</v>
      </c>
      <c r="AL18" s="46">
        <f t="shared" si="38"/>
        <v>37.7646644</v>
      </c>
      <c r="AM18" s="44">
        <f t="shared" si="39"/>
        <v>1474659117</v>
      </c>
      <c r="AN18" s="45">
        <f t="shared" si="40"/>
        <v>47379944</v>
      </c>
      <c r="AO18" s="46">
        <f t="shared" si="41"/>
        <v>31.12412115</v>
      </c>
      <c r="AP18" s="44">
        <f t="shared" si="42"/>
        <v>1817738922</v>
      </c>
      <c r="AQ18" s="45">
        <f t="shared" si="43"/>
        <v>6603401</v>
      </c>
      <c r="AR18" s="46">
        <f t="shared" si="44"/>
        <v>275.2731391</v>
      </c>
      <c r="AS18" s="47">
        <f t="shared" si="45"/>
        <v>11243641952</v>
      </c>
      <c r="AT18" s="48">
        <f t="shared" si="46"/>
        <v>215417741</v>
      </c>
      <c r="AU18" s="47">
        <f t="shared" si="47"/>
        <v>803117283</v>
      </c>
      <c r="AV18" s="49">
        <f t="shared" si="48"/>
        <v>16570595.46</v>
      </c>
      <c r="AW18" s="47">
        <f t="shared" ref="AW18:AY18" si="77">MIN(C18,F18,I18,L18,O18,R18,U18,X18,AA18,AD18,AG18,AJ18,AM18,AP18)</f>
        <v>14754704</v>
      </c>
      <c r="AX18" s="50">
        <f t="shared" si="77"/>
        <v>4157230</v>
      </c>
      <c r="AY18" s="51">
        <f t="shared" si="77"/>
        <v>0.3623521817</v>
      </c>
      <c r="AZ18" s="47">
        <f t="shared" ref="AZ18:BB18" si="78">MAX(C18,F18,I18,L18,O18,R18,U18,X18,AA18,AD18,AG18,AJ18,AM18,AP18)</f>
        <v>1817738922</v>
      </c>
      <c r="BA18" s="50">
        <f t="shared" si="78"/>
        <v>47379944</v>
      </c>
      <c r="BB18" s="48">
        <f t="shared" si="78"/>
        <v>381.6640311</v>
      </c>
      <c r="BC18" s="52"/>
      <c r="BD18" s="52"/>
      <c r="BE18" s="52"/>
      <c r="BF18" s="52"/>
      <c r="BG18" s="52"/>
    </row>
    <row r="19">
      <c r="A19" s="39">
        <v>19.0</v>
      </c>
      <c r="B19" s="40" t="s">
        <v>177</v>
      </c>
      <c r="C19" s="41">
        <f t="shared" si="3"/>
        <v>969950360</v>
      </c>
      <c r="D19" s="42">
        <f t="shared" si="4"/>
        <v>2443943</v>
      </c>
      <c r="E19" s="43">
        <f t="shared" si="5"/>
        <v>396.8792889</v>
      </c>
      <c r="F19" s="41">
        <f t="shared" si="6"/>
        <v>1527127492</v>
      </c>
      <c r="G19" s="42">
        <f t="shared" si="7"/>
        <v>25366617</v>
      </c>
      <c r="H19" s="43">
        <f t="shared" si="8"/>
        <v>60.20225291</v>
      </c>
      <c r="I19" s="44">
        <f t="shared" si="9"/>
        <v>1528156524</v>
      </c>
      <c r="J19" s="45">
        <f t="shared" si="10"/>
        <v>32718107</v>
      </c>
      <c r="K19" s="46">
        <f t="shared" si="11"/>
        <v>46.70675244</v>
      </c>
      <c r="L19" s="44">
        <f t="shared" si="12"/>
        <v>1273656479</v>
      </c>
      <c r="M19" s="45">
        <f t="shared" si="13"/>
        <v>6162228</v>
      </c>
      <c r="N19" s="46">
        <f t="shared" si="14"/>
        <v>206.6876589</v>
      </c>
      <c r="O19" s="44">
        <f t="shared" si="15"/>
        <v>871400089</v>
      </c>
      <c r="P19" s="45">
        <f t="shared" si="16"/>
        <v>18277944</v>
      </c>
      <c r="Q19" s="46">
        <f t="shared" si="17"/>
        <v>47.67495124</v>
      </c>
      <c r="R19" s="44">
        <f t="shared" si="18"/>
        <v>1752870202</v>
      </c>
      <c r="S19" s="45">
        <f t="shared" si="19"/>
        <v>35342109</v>
      </c>
      <c r="T19" s="46">
        <f t="shared" si="20"/>
        <v>49.59721566</v>
      </c>
      <c r="U19" s="44">
        <f t="shared" si="21"/>
        <v>1605994133</v>
      </c>
      <c r="V19" s="45">
        <f t="shared" si="22"/>
        <v>13545483</v>
      </c>
      <c r="W19" s="46">
        <f t="shared" si="23"/>
        <v>118.5630762</v>
      </c>
      <c r="X19" s="44">
        <f t="shared" si="24"/>
        <v>903628463</v>
      </c>
      <c r="Y19" s="45">
        <f t="shared" si="25"/>
        <v>20848488</v>
      </c>
      <c r="Z19" s="46">
        <f t="shared" si="26"/>
        <v>43.34263775</v>
      </c>
      <c r="AA19" s="44">
        <f t="shared" si="27"/>
        <v>1730840704</v>
      </c>
      <c r="AB19" s="45">
        <f t="shared" si="28"/>
        <v>28746356</v>
      </c>
      <c r="AC19" s="46">
        <f t="shared" si="29"/>
        <v>60.21078651</v>
      </c>
      <c r="AD19" s="44">
        <f t="shared" si="30"/>
        <v>1957457788</v>
      </c>
      <c r="AE19" s="45">
        <f t="shared" si="31"/>
        <v>30686079</v>
      </c>
      <c r="AF19" s="46">
        <f t="shared" si="32"/>
        <v>63.78976565</v>
      </c>
      <c r="AG19" s="44">
        <f t="shared" si="33"/>
        <v>1819233924</v>
      </c>
      <c r="AH19" s="45">
        <f t="shared" si="34"/>
        <v>40991145</v>
      </c>
      <c r="AI19" s="46">
        <f t="shared" si="35"/>
        <v>44.38114437</v>
      </c>
      <c r="AJ19" s="44">
        <f t="shared" si="36"/>
        <v>921102432</v>
      </c>
      <c r="AK19" s="45">
        <f t="shared" si="37"/>
        <v>43714230</v>
      </c>
      <c r="AL19" s="46">
        <f t="shared" si="38"/>
        <v>21.07099752</v>
      </c>
      <c r="AM19" s="44">
        <f t="shared" si="39"/>
        <v>725330727</v>
      </c>
      <c r="AN19" s="45">
        <f t="shared" si="40"/>
        <v>1490333</v>
      </c>
      <c r="AO19" s="46">
        <f t="shared" si="41"/>
        <v>486.6903752</v>
      </c>
      <c r="AP19" s="44">
        <f t="shared" si="42"/>
        <v>308260582</v>
      </c>
      <c r="AQ19" s="45">
        <f t="shared" si="43"/>
        <v>21919174</v>
      </c>
      <c r="AR19" s="46">
        <f t="shared" si="44"/>
        <v>14.0635127</v>
      </c>
      <c r="AS19" s="47">
        <f t="shared" si="45"/>
        <v>17895009899</v>
      </c>
      <c r="AT19" s="48">
        <f t="shared" si="46"/>
        <v>871401494.5</v>
      </c>
      <c r="AU19" s="47">
        <f t="shared" si="47"/>
        <v>1278214993</v>
      </c>
      <c r="AV19" s="49">
        <f t="shared" si="48"/>
        <v>67030884.19</v>
      </c>
      <c r="AW19" s="47">
        <f t="shared" ref="AW19:AY19" si="79">MIN(C19,F19,I19,L19,O19,R19,U19,X19,AA19,AD19,AG19,AJ19,AM19,AP19)</f>
        <v>308260582</v>
      </c>
      <c r="AX19" s="50">
        <f t="shared" si="79"/>
        <v>1490333</v>
      </c>
      <c r="AY19" s="51">
        <f t="shared" si="79"/>
        <v>14.0635127</v>
      </c>
      <c r="AZ19" s="47">
        <f t="shared" ref="AZ19:BB19" si="80">MAX(C19,F19,I19,L19,O19,R19,U19,X19,AA19,AD19,AG19,AJ19,AM19,AP19)</f>
        <v>1957457788</v>
      </c>
      <c r="BA19" s="50">
        <f t="shared" si="80"/>
        <v>43714230</v>
      </c>
      <c r="BB19" s="48">
        <f t="shared" si="80"/>
        <v>486.6903752</v>
      </c>
      <c r="BC19" s="52"/>
      <c r="BD19" s="52"/>
      <c r="BE19" s="52"/>
      <c r="BF19" s="52"/>
      <c r="BG19" s="52"/>
    </row>
    <row r="20">
      <c r="A20" s="39">
        <v>20.0</v>
      </c>
      <c r="B20" s="40" t="s">
        <v>178</v>
      </c>
      <c r="C20" s="41">
        <f t="shared" si="3"/>
        <v>454983528</v>
      </c>
      <c r="D20" s="42">
        <f t="shared" si="4"/>
        <v>25047528</v>
      </c>
      <c r="E20" s="43">
        <f t="shared" si="5"/>
        <v>18.16480764</v>
      </c>
      <c r="F20" s="41">
        <f t="shared" si="6"/>
        <v>975876937</v>
      </c>
      <c r="G20" s="42">
        <f t="shared" si="7"/>
        <v>40712480</v>
      </c>
      <c r="H20" s="43">
        <f t="shared" si="8"/>
        <v>23.96997031</v>
      </c>
      <c r="I20" s="44">
        <f t="shared" si="9"/>
        <v>164613298</v>
      </c>
      <c r="J20" s="45">
        <f t="shared" si="10"/>
        <v>47095688</v>
      </c>
      <c r="K20" s="46">
        <f t="shared" si="11"/>
        <v>3.495294474</v>
      </c>
      <c r="L20" s="44">
        <f t="shared" si="12"/>
        <v>1405733038</v>
      </c>
      <c r="M20" s="45">
        <f t="shared" si="13"/>
        <v>31908688</v>
      </c>
      <c r="N20" s="46">
        <f t="shared" si="14"/>
        <v>44.054868</v>
      </c>
      <c r="O20" s="44">
        <f t="shared" si="15"/>
        <v>839843497</v>
      </c>
      <c r="P20" s="45">
        <f t="shared" si="16"/>
        <v>49274562</v>
      </c>
      <c r="Q20" s="46">
        <f t="shared" si="17"/>
        <v>17.04415956</v>
      </c>
      <c r="R20" s="44">
        <f t="shared" si="18"/>
        <v>700729577</v>
      </c>
      <c r="S20" s="45">
        <f t="shared" si="19"/>
        <v>33539508</v>
      </c>
      <c r="T20" s="46">
        <f t="shared" si="20"/>
        <v>20.89266119</v>
      </c>
      <c r="U20" s="44">
        <f t="shared" si="21"/>
        <v>705335316</v>
      </c>
      <c r="V20" s="45">
        <f t="shared" si="22"/>
        <v>48992327</v>
      </c>
      <c r="W20" s="46">
        <f t="shared" si="23"/>
        <v>14.39685272</v>
      </c>
      <c r="X20" s="44">
        <f t="shared" si="24"/>
        <v>1055006241</v>
      </c>
      <c r="Y20" s="45">
        <f t="shared" si="25"/>
        <v>35187999</v>
      </c>
      <c r="Z20" s="46">
        <f t="shared" si="26"/>
        <v>29.9819902</v>
      </c>
      <c r="AA20" s="44">
        <f t="shared" si="27"/>
        <v>1668981675</v>
      </c>
      <c r="AB20" s="45">
        <f t="shared" si="28"/>
        <v>34055478</v>
      </c>
      <c r="AC20" s="46">
        <f t="shared" si="29"/>
        <v>49.00773012</v>
      </c>
      <c r="AD20" s="44">
        <f t="shared" si="30"/>
        <v>1490586209</v>
      </c>
      <c r="AE20" s="45">
        <f t="shared" si="31"/>
        <v>28730860</v>
      </c>
      <c r="AF20" s="46">
        <f t="shared" si="32"/>
        <v>51.88101606</v>
      </c>
      <c r="AG20" s="44">
        <f t="shared" si="33"/>
        <v>702029339</v>
      </c>
      <c r="AH20" s="45">
        <f t="shared" si="34"/>
        <v>17897091</v>
      </c>
      <c r="AI20" s="46">
        <f t="shared" si="35"/>
        <v>39.2258909</v>
      </c>
      <c r="AJ20" s="44">
        <f t="shared" si="36"/>
        <v>730575090</v>
      </c>
      <c r="AK20" s="45">
        <f t="shared" si="37"/>
        <v>36835164</v>
      </c>
      <c r="AL20" s="46">
        <f t="shared" si="38"/>
        <v>19.83363207</v>
      </c>
      <c r="AM20" s="44">
        <f t="shared" si="39"/>
        <v>1458727390</v>
      </c>
      <c r="AN20" s="45">
        <f t="shared" si="40"/>
        <v>31857329</v>
      </c>
      <c r="AO20" s="46">
        <f t="shared" si="41"/>
        <v>45.78938146</v>
      </c>
      <c r="AP20" s="44">
        <f t="shared" si="42"/>
        <v>151883514</v>
      </c>
      <c r="AQ20" s="45">
        <f t="shared" si="43"/>
        <v>22961402</v>
      </c>
      <c r="AR20" s="46">
        <f t="shared" si="44"/>
        <v>6.614731714</v>
      </c>
      <c r="AS20" s="47">
        <f t="shared" si="45"/>
        <v>12504904649</v>
      </c>
      <c r="AT20" s="48">
        <f t="shared" si="46"/>
        <v>839843820.3</v>
      </c>
      <c r="AU20" s="47">
        <f t="shared" si="47"/>
        <v>893207475</v>
      </c>
      <c r="AV20" s="49">
        <f t="shared" si="48"/>
        <v>64603370.79</v>
      </c>
      <c r="AW20" s="47">
        <f t="shared" ref="AW20:AY20" si="81">MIN(C20,F20,I20,L20,O20,R20,U20,X20,AA20,AD20,AG20,AJ20,AM20,AP20)</f>
        <v>151883514</v>
      </c>
      <c r="AX20" s="50">
        <f t="shared" si="81"/>
        <v>17897091</v>
      </c>
      <c r="AY20" s="51">
        <f t="shared" si="81"/>
        <v>3.495294474</v>
      </c>
      <c r="AZ20" s="47">
        <f t="shared" ref="AZ20:BB20" si="82">MAX(C20,F20,I20,L20,O20,R20,U20,X20,AA20,AD20,AG20,AJ20,AM20,AP20)</f>
        <v>1668981675</v>
      </c>
      <c r="BA20" s="50">
        <f t="shared" si="82"/>
        <v>49274562</v>
      </c>
      <c r="BB20" s="48">
        <f t="shared" si="82"/>
        <v>51.88101606</v>
      </c>
      <c r="BC20" s="52"/>
      <c r="BD20" s="52"/>
      <c r="BE20" s="52"/>
      <c r="BF20" s="52"/>
      <c r="BG20" s="52"/>
    </row>
    <row r="21">
      <c r="A21" s="39">
        <v>21.0</v>
      </c>
      <c r="B21" s="40" t="s">
        <v>47</v>
      </c>
      <c r="C21" s="41">
        <f t="shared" si="3"/>
        <v>435707022</v>
      </c>
      <c r="D21" s="42">
        <f t="shared" si="4"/>
        <v>40043950</v>
      </c>
      <c r="E21" s="43">
        <f t="shared" si="5"/>
        <v>10.88072036</v>
      </c>
      <c r="F21" s="41">
        <f t="shared" si="6"/>
        <v>30195438</v>
      </c>
      <c r="G21" s="42">
        <f t="shared" si="7"/>
        <v>2068884</v>
      </c>
      <c r="H21" s="43">
        <f t="shared" si="8"/>
        <v>14.59503674</v>
      </c>
      <c r="I21" s="44">
        <f t="shared" si="9"/>
        <v>60034696</v>
      </c>
      <c r="J21" s="45">
        <f t="shared" si="10"/>
        <v>21530993</v>
      </c>
      <c r="K21" s="46">
        <f t="shared" si="11"/>
        <v>2.788292022</v>
      </c>
      <c r="L21" s="44">
        <f t="shared" si="12"/>
        <v>520870255</v>
      </c>
      <c r="M21" s="45">
        <f t="shared" si="13"/>
        <v>38262514</v>
      </c>
      <c r="N21" s="46">
        <f t="shared" si="14"/>
        <v>13.61306931</v>
      </c>
      <c r="O21" s="44">
        <f t="shared" si="15"/>
        <v>273442492</v>
      </c>
      <c r="P21" s="45">
        <f t="shared" si="16"/>
        <v>42527034</v>
      </c>
      <c r="Q21" s="46">
        <f t="shared" si="17"/>
        <v>6.429850998</v>
      </c>
      <c r="R21" s="44">
        <f t="shared" si="18"/>
        <v>502533767</v>
      </c>
      <c r="S21" s="45">
        <f t="shared" si="19"/>
        <v>29984514</v>
      </c>
      <c r="T21" s="46">
        <f t="shared" si="20"/>
        <v>16.75977696</v>
      </c>
      <c r="U21" s="44">
        <f t="shared" si="21"/>
        <v>513727053</v>
      </c>
      <c r="V21" s="45">
        <f t="shared" si="22"/>
        <v>31181557</v>
      </c>
      <c r="W21" s="46">
        <f t="shared" si="23"/>
        <v>16.47534961</v>
      </c>
      <c r="X21" s="44">
        <f t="shared" si="24"/>
        <v>1977700603</v>
      </c>
      <c r="Y21" s="45">
        <f t="shared" si="25"/>
        <v>43441534</v>
      </c>
      <c r="Z21" s="46">
        <f t="shared" si="26"/>
        <v>45.52557014</v>
      </c>
      <c r="AA21" s="44">
        <f t="shared" si="27"/>
        <v>1558604049</v>
      </c>
      <c r="AB21" s="45">
        <f t="shared" si="28"/>
        <v>42638155</v>
      </c>
      <c r="AC21" s="46">
        <f t="shared" si="29"/>
        <v>36.55420946</v>
      </c>
      <c r="AD21" s="44">
        <f t="shared" si="30"/>
        <v>1722717127</v>
      </c>
      <c r="AE21" s="45">
        <f t="shared" si="31"/>
        <v>23578057</v>
      </c>
      <c r="AF21" s="46">
        <f t="shared" si="32"/>
        <v>73.06442287</v>
      </c>
      <c r="AG21" s="44">
        <f t="shared" si="33"/>
        <v>425854169</v>
      </c>
      <c r="AH21" s="45">
        <f t="shared" si="34"/>
        <v>47277811</v>
      </c>
      <c r="AI21" s="46">
        <f t="shared" si="35"/>
        <v>9.007484907</v>
      </c>
      <c r="AJ21" s="44">
        <f t="shared" si="36"/>
        <v>1238853542</v>
      </c>
      <c r="AK21" s="45">
        <f t="shared" si="37"/>
        <v>29810786</v>
      </c>
      <c r="AL21" s="46">
        <f t="shared" si="38"/>
        <v>41.55722503</v>
      </c>
      <c r="AM21" s="44">
        <f t="shared" si="39"/>
        <v>1612254102</v>
      </c>
      <c r="AN21" s="45">
        <f t="shared" si="40"/>
        <v>33210720</v>
      </c>
      <c r="AO21" s="46">
        <f t="shared" si="41"/>
        <v>48.54619539</v>
      </c>
      <c r="AP21" s="44">
        <f t="shared" si="42"/>
        <v>632421680</v>
      </c>
      <c r="AQ21" s="45">
        <f t="shared" si="43"/>
        <v>1070248</v>
      </c>
      <c r="AR21" s="46">
        <f t="shared" si="44"/>
        <v>590.9113402</v>
      </c>
      <c r="AS21" s="47">
        <f t="shared" si="45"/>
        <v>11504915995</v>
      </c>
      <c r="AT21" s="48">
        <f t="shared" si="46"/>
        <v>273443398.7</v>
      </c>
      <c r="AU21" s="47">
        <f t="shared" si="47"/>
        <v>821779714</v>
      </c>
      <c r="AV21" s="49">
        <f t="shared" si="48"/>
        <v>21034107.59</v>
      </c>
      <c r="AW21" s="47">
        <f t="shared" ref="AW21:AY21" si="83">MIN(C21,F21,I21,L21,O21,R21,U21,X21,AA21,AD21,AG21,AJ21,AM21,AP21)</f>
        <v>30195438</v>
      </c>
      <c r="AX21" s="50">
        <f t="shared" si="83"/>
        <v>1070248</v>
      </c>
      <c r="AY21" s="51">
        <f t="shared" si="83"/>
        <v>2.788292022</v>
      </c>
      <c r="AZ21" s="47">
        <f t="shared" ref="AZ21:BB21" si="84">MAX(C21,F21,I21,L21,O21,R21,U21,X21,AA21,AD21,AG21,AJ21,AM21,AP21)</f>
        <v>1977700603</v>
      </c>
      <c r="BA21" s="50">
        <f t="shared" si="84"/>
        <v>47277811</v>
      </c>
      <c r="BB21" s="48">
        <f t="shared" si="84"/>
        <v>590.9113402</v>
      </c>
      <c r="BC21" s="52"/>
      <c r="BD21" s="52"/>
      <c r="BE21" s="52"/>
      <c r="BF21" s="52"/>
      <c r="BG21" s="52"/>
    </row>
    <row r="22">
      <c r="A22" s="39">
        <v>22.0</v>
      </c>
      <c r="B22" s="40" t="s">
        <v>49</v>
      </c>
      <c r="C22" s="41">
        <f t="shared" si="3"/>
        <v>585401743</v>
      </c>
      <c r="D22" s="42">
        <f t="shared" si="4"/>
        <v>46870673</v>
      </c>
      <c r="E22" s="43">
        <f t="shared" si="5"/>
        <v>12.48972344</v>
      </c>
      <c r="F22" s="41">
        <f t="shared" si="6"/>
        <v>572622791</v>
      </c>
      <c r="G22" s="42">
        <f t="shared" si="7"/>
        <v>30860387</v>
      </c>
      <c r="H22" s="43">
        <f t="shared" si="8"/>
        <v>18.55526928</v>
      </c>
      <c r="I22" s="44">
        <f t="shared" si="9"/>
        <v>201464655</v>
      </c>
      <c r="J22" s="45">
        <f t="shared" si="10"/>
        <v>17950813</v>
      </c>
      <c r="K22" s="46">
        <f t="shared" si="11"/>
        <v>11.22314934</v>
      </c>
      <c r="L22" s="44">
        <f t="shared" si="12"/>
        <v>334222827</v>
      </c>
      <c r="M22" s="45">
        <f t="shared" si="13"/>
        <v>21562894</v>
      </c>
      <c r="N22" s="46">
        <f t="shared" si="14"/>
        <v>15.49990586</v>
      </c>
      <c r="O22" s="44">
        <f t="shared" si="15"/>
        <v>123433540</v>
      </c>
      <c r="P22" s="45">
        <f t="shared" si="16"/>
        <v>19093220</v>
      </c>
      <c r="Q22" s="46">
        <f t="shared" si="17"/>
        <v>6.464783834</v>
      </c>
      <c r="R22" s="44">
        <f t="shared" si="18"/>
        <v>1258044647</v>
      </c>
      <c r="S22" s="45">
        <f t="shared" si="19"/>
        <v>1979818</v>
      </c>
      <c r="T22" s="46">
        <f t="shared" si="20"/>
        <v>635.434493</v>
      </c>
      <c r="U22" s="44">
        <f t="shared" si="21"/>
        <v>1415051531</v>
      </c>
      <c r="V22" s="45">
        <f t="shared" si="22"/>
        <v>49259921</v>
      </c>
      <c r="W22" s="46">
        <f t="shared" si="23"/>
        <v>28.72622412</v>
      </c>
      <c r="X22" s="44">
        <f t="shared" si="24"/>
        <v>332447588</v>
      </c>
      <c r="Y22" s="45">
        <f t="shared" si="25"/>
        <v>31991442</v>
      </c>
      <c r="Z22" s="46">
        <f t="shared" si="26"/>
        <v>10.39176627</v>
      </c>
      <c r="AA22" s="44">
        <f t="shared" si="27"/>
        <v>395635447</v>
      </c>
      <c r="AB22" s="45">
        <f t="shared" si="28"/>
        <v>47725151</v>
      </c>
      <c r="AC22" s="46">
        <f t="shared" si="29"/>
        <v>8.289873132</v>
      </c>
      <c r="AD22" s="44">
        <f t="shared" si="30"/>
        <v>1616115896</v>
      </c>
      <c r="AE22" s="45">
        <f t="shared" si="31"/>
        <v>7288402</v>
      </c>
      <c r="AF22" s="46">
        <f t="shared" si="32"/>
        <v>221.7380293</v>
      </c>
      <c r="AG22" s="44">
        <f t="shared" si="33"/>
        <v>1403709212</v>
      </c>
      <c r="AH22" s="45">
        <f t="shared" si="34"/>
        <v>14853653</v>
      </c>
      <c r="AI22" s="46">
        <f t="shared" si="35"/>
        <v>94.50262585</v>
      </c>
      <c r="AJ22" s="44">
        <f t="shared" si="36"/>
        <v>1773410206</v>
      </c>
      <c r="AK22" s="45">
        <f t="shared" si="37"/>
        <v>26948838</v>
      </c>
      <c r="AL22" s="46">
        <f t="shared" si="38"/>
        <v>65.80655559</v>
      </c>
      <c r="AM22" s="44">
        <f t="shared" si="39"/>
        <v>423119440</v>
      </c>
      <c r="AN22" s="45">
        <f t="shared" si="40"/>
        <v>48258188</v>
      </c>
      <c r="AO22" s="46">
        <f t="shared" si="41"/>
        <v>8.767826923</v>
      </c>
      <c r="AP22" s="44">
        <f t="shared" si="42"/>
        <v>463076618</v>
      </c>
      <c r="AQ22" s="45">
        <f t="shared" si="43"/>
        <v>29750411</v>
      </c>
      <c r="AR22" s="46">
        <f t="shared" si="44"/>
        <v>15.56538557</v>
      </c>
      <c r="AS22" s="47">
        <f t="shared" si="45"/>
        <v>10897756141</v>
      </c>
      <c r="AT22" s="48">
        <f t="shared" si="46"/>
        <v>123434671.5</v>
      </c>
      <c r="AU22" s="47">
        <f t="shared" si="47"/>
        <v>778411153</v>
      </c>
      <c r="AV22" s="49">
        <f t="shared" si="48"/>
        <v>9494974.73</v>
      </c>
      <c r="AW22" s="47">
        <f t="shared" ref="AW22:AY22" si="85">MIN(C22,F22,I22,L22,O22,R22,U22,X22,AA22,AD22,AG22,AJ22,AM22,AP22)</f>
        <v>123433540</v>
      </c>
      <c r="AX22" s="50">
        <f t="shared" si="85"/>
        <v>1979818</v>
      </c>
      <c r="AY22" s="51">
        <f t="shared" si="85"/>
        <v>6.464783834</v>
      </c>
      <c r="AZ22" s="47">
        <f t="shared" ref="AZ22:BB22" si="86">MAX(C22,F22,I22,L22,O22,R22,U22,X22,AA22,AD22,AG22,AJ22,AM22,AP22)</f>
        <v>1773410206</v>
      </c>
      <c r="BA22" s="50">
        <f t="shared" si="86"/>
        <v>49259921</v>
      </c>
      <c r="BB22" s="48">
        <f t="shared" si="86"/>
        <v>635.434493</v>
      </c>
      <c r="BC22" s="52"/>
      <c r="BD22" s="52"/>
      <c r="BE22" s="52"/>
      <c r="BF22" s="52"/>
      <c r="BG22" s="52"/>
    </row>
    <row r="23">
      <c r="A23" s="39">
        <v>23.0</v>
      </c>
      <c r="B23" s="40" t="s">
        <v>52</v>
      </c>
      <c r="C23" s="41">
        <f t="shared" si="3"/>
        <v>1464275831</v>
      </c>
      <c r="D23" s="42">
        <f t="shared" si="4"/>
        <v>20711973</v>
      </c>
      <c r="E23" s="43">
        <f t="shared" si="5"/>
        <v>70.69707125</v>
      </c>
      <c r="F23" s="41">
        <f t="shared" si="6"/>
        <v>503607901</v>
      </c>
      <c r="G23" s="42">
        <f t="shared" si="7"/>
        <v>29492184</v>
      </c>
      <c r="H23" s="43">
        <f t="shared" si="8"/>
        <v>17.07597854</v>
      </c>
      <c r="I23" s="44">
        <f t="shared" si="9"/>
        <v>1741428464</v>
      </c>
      <c r="J23" s="45">
        <f t="shared" si="10"/>
        <v>28351151</v>
      </c>
      <c r="K23" s="46">
        <f t="shared" si="11"/>
        <v>61.42355434</v>
      </c>
      <c r="L23" s="44">
        <f t="shared" si="12"/>
        <v>144198167</v>
      </c>
      <c r="M23" s="45">
        <f t="shared" si="13"/>
        <v>18009996</v>
      </c>
      <c r="N23" s="46">
        <f t="shared" si="14"/>
        <v>8.006562966</v>
      </c>
      <c r="O23" s="44">
        <f t="shared" si="15"/>
        <v>831760728</v>
      </c>
      <c r="P23" s="45">
        <f t="shared" si="16"/>
        <v>32265834</v>
      </c>
      <c r="Q23" s="46">
        <f t="shared" si="17"/>
        <v>25.77837374</v>
      </c>
      <c r="R23" s="44">
        <f t="shared" si="18"/>
        <v>1119090400</v>
      </c>
      <c r="S23" s="45">
        <f t="shared" si="19"/>
        <v>46654586</v>
      </c>
      <c r="T23" s="46">
        <f t="shared" si="20"/>
        <v>23.98671805</v>
      </c>
      <c r="U23" s="44">
        <f t="shared" si="21"/>
        <v>1559100150</v>
      </c>
      <c r="V23" s="45">
        <f t="shared" si="22"/>
        <v>16704571</v>
      </c>
      <c r="W23" s="46">
        <f t="shared" si="23"/>
        <v>93.3337438</v>
      </c>
      <c r="X23" s="44">
        <f t="shared" si="24"/>
        <v>227192716</v>
      </c>
      <c r="Y23" s="45">
        <f t="shared" si="25"/>
        <v>12931391</v>
      </c>
      <c r="Z23" s="46">
        <f t="shared" si="26"/>
        <v>17.56908565</v>
      </c>
      <c r="AA23" s="44">
        <f t="shared" si="27"/>
        <v>1815668988</v>
      </c>
      <c r="AB23" s="45">
        <f t="shared" si="28"/>
        <v>2407586</v>
      </c>
      <c r="AC23" s="46">
        <f t="shared" si="29"/>
        <v>754.1450183</v>
      </c>
      <c r="AD23" s="44">
        <f t="shared" si="30"/>
        <v>1585515239</v>
      </c>
      <c r="AE23" s="45">
        <f t="shared" si="31"/>
        <v>2608416</v>
      </c>
      <c r="AF23" s="46">
        <f t="shared" si="32"/>
        <v>607.8460027</v>
      </c>
      <c r="AG23" s="44">
        <f t="shared" si="33"/>
        <v>520493128</v>
      </c>
      <c r="AH23" s="45">
        <f t="shared" si="34"/>
        <v>36675539</v>
      </c>
      <c r="AI23" s="46">
        <f t="shared" si="35"/>
        <v>14.19183309</v>
      </c>
      <c r="AJ23" s="44">
        <f t="shared" si="36"/>
        <v>1216115968</v>
      </c>
      <c r="AK23" s="45">
        <f t="shared" si="37"/>
        <v>26719117</v>
      </c>
      <c r="AL23" s="46">
        <f t="shared" si="38"/>
        <v>45.51482626</v>
      </c>
      <c r="AM23" s="44">
        <f t="shared" si="39"/>
        <v>92529607</v>
      </c>
      <c r="AN23" s="45">
        <f t="shared" si="40"/>
        <v>20090110</v>
      </c>
      <c r="AO23" s="46">
        <f t="shared" si="41"/>
        <v>4.605729237</v>
      </c>
      <c r="AP23" s="44">
        <f t="shared" si="42"/>
        <v>1830291100</v>
      </c>
      <c r="AQ23" s="45">
        <f t="shared" si="43"/>
        <v>10069987</v>
      </c>
      <c r="AR23" s="46">
        <f t="shared" si="44"/>
        <v>181.757047</v>
      </c>
      <c r="AS23" s="47">
        <f t="shared" si="45"/>
        <v>14651268387</v>
      </c>
      <c r="AT23" s="48">
        <f t="shared" si="46"/>
        <v>831762620.1</v>
      </c>
      <c r="AU23" s="47">
        <f t="shared" si="47"/>
        <v>1046519171</v>
      </c>
      <c r="AV23" s="49">
        <f t="shared" si="48"/>
        <v>63981740.01</v>
      </c>
      <c r="AW23" s="47">
        <f t="shared" ref="AW23:AY23" si="87">MIN(C23,F23,I23,L23,O23,R23,U23,X23,AA23,AD23,AG23,AJ23,AM23,AP23)</f>
        <v>92529607</v>
      </c>
      <c r="AX23" s="50">
        <f t="shared" si="87"/>
        <v>2407586</v>
      </c>
      <c r="AY23" s="51">
        <f t="shared" si="87"/>
        <v>4.605729237</v>
      </c>
      <c r="AZ23" s="47">
        <f t="shared" ref="AZ23:BB23" si="88">MAX(C23,F23,I23,L23,O23,R23,U23,X23,AA23,AD23,AG23,AJ23,AM23,AP23)</f>
        <v>1830291100</v>
      </c>
      <c r="BA23" s="50">
        <f t="shared" si="88"/>
        <v>46654586</v>
      </c>
      <c r="BB23" s="48">
        <f t="shared" si="88"/>
        <v>754.1450183</v>
      </c>
      <c r="BC23" s="52"/>
      <c r="BD23" s="52"/>
      <c r="BE23" s="52"/>
      <c r="BF23" s="52"/>
      <c r="BG23" s="52"/>
    </row>
    <row r="24">
      <c r="A24" s="39">
        <v>24.0</v>
      </c>
      <c r="B24" s="40" t="s">
        <v>179</v>
      </c>
      <c r="C24" s="41">
        <f t="shared" si="3"/>
        <v>1982908609</v>
      </c>
      <c r="D24" s="42">
        <f t="shared" si="4"/>
        <v>37867396</v>
      </c>
      <c r="E24" s="43">
        <f t="shared" si="5"/>
        <v>52.36453568</v>
      </c>
      <c r="F24" s="41">
        <f t="shared" si="6"/>
        <v>48259934</v>
      </c>
      <c r="G24" s="42">
        <f t="shared" si="7"/>
        <v>43570193</v>
      </c>
      <c r="H24" s="43">
        <f t="shared" si="8"/>
        <v>1.107636452</v>
      </c>
      <c r="I24" s="44">
        <f t="shared" si="9"/>
        <v>1778637876</v>
      </c>
      <c r="J24" s="45">
        <f t="shared" si="10"/>
        <v>15721759</v>
      </c>
      <c r="K24" s="46">
        <f t="shared" si="11"/>
        <v>113.132244</v>
      </c>
      <c r="L24" s="44">
        <f t="shared" si="12"/>
        <v>1768610672</v>
      </c>
      <c r="M24" s="45">
        <f t="shared" si="13"/>
        <v>26334287</v>
      </c>
      <c r="N24" s="46">
        <f t="shared" si="14"/>
        <v>67.15999837</v>
      </c>
      <c r="O24" s="44">
        <f t="shared" si="15"/>
        <v>1248959653</v>
      </c>
      <c r="P24" s="45">
        <f t="shared" si="16"/>
        <v>14960523</v>
      </c>
      <c r="Q24" s="46">
        <f t="shared" si="17"/>
        <v>83.48368924</v>
      </c>
      <c r="R24" s="44">
        <f t="shared" si="18"/>
        <v>934417722</v>
      </c>
      <c r="S24" s="45">
        <f t="shared" si="19"/>
        <v>44362755</v>
      </c>
      <c r="T24" s="46">
        <f t="shared" si="20"/>
        <v>21.06311301</v>
      </c>
      <c r="U24" s="44">
        <f t="shared" si="21"/>
        <v>1634228642</v>
      </c>
      <c r="V24" s="45">
        <f t="shared" si="22"/>
        <v>10796147</v>
      </c>
      <c r="W24" s="46">
        <f t="shared" si="23"/>
        <v>151.37147</v>
      </c>
      <c r="X24" s="44">
        <f t="shared" si="24"/>
        <v>1045932813</v>
      </c>
      <c r="Y24" s="45">
        <f t="shared" si="25"/>
        <v>28546260</v>
      </c>
      <c r="Z24" s="46">
        <f t="shared" si="26"/>
        <v>36.63992456</v>
      </c>
      <c r="AA24" s="44">
        <f t="shared" si="27"/>
        <v>755665958</v>
      </c>
      <c r="AB24" s="45">
        <f t="shared" si="28"/>
        <v>16480847</v>
      </c>
      <c r="AC24" s="46">
        <f t="shared" si="29"/>
        <v>45.85116032</v>
      </c>
      <c r="AD24" s="44">
        <f t="shared" si="30"/>
        <v>1091282601</v>
      </c>
      <c r="AE24" s="45">
        <f t="shared" si="31"/>
        <v>43189490</v>
      </c>
      <c r="AF24" s="46">
        <f t="shared" si="32"/>
        <v>25.26731853</v>
      </c>
      <c r="AG24" s="44">
        <f t="shared" si="33"/>
        <v>49421529</v>
      </c>
      <c r="AH24" s="45">
        <f t="shared" si="34"/>
        <v>48999193</v>
      </c>
      <c r="AI24" s="46">
        <f t="shared" si="35"/>
        <v>1.008619244</v>
      </c>
      <c r="AJ24" s="44">
        <f t="shared" si="36"/>
        <v>1632110206</v>
      </c>
      <c r="AK24" s="45">
        <f t="shared" si="37"/>
        <v>22181052</v>
      </c>
      <c r="AL24" s="46">
        <f t="shared" si="38"/>
        <v>73.58128036</v>
      </c>
      <c r="AM24" s="44">
        <f t="shared" si="39"/>
        <v>1326796345</v>
      </c>
      <c r="AN24" s="45">
        <f t="shared" si="40"/>
        <v>38866592</v>
      </c>
      <c r="AO24" s="46">
        <f t="shared" si="41"/>
        <v>34.13719281</v>
      </c>
      <c r="AP24" s="44">
        <f t="shared" si="42"/>
        <v>546193744</v>
      </c>
      <c r="AQ24" s="45">
        <f t="shared" si="43"/>
        <v>33139816</v>
      </c>
      <c r="AR24" s="46">
        <f t="shared" si="44"/>
        <v>16.48149597</v>
      </c>
      <c r="AS24" s="47">
        <f t="shared" si="45"/>
        <v>15843426304</v>
      </c>
      <c r="AT24" s="48">
        <f t="shared" si="46"/>
        <v>1248960225</v>
      </c>
      <c r="AU24" s="47">
        <f t="shared" si="47"/>
        <v>1131673308</v>
      </c>
      <c r="AV24" s="49">
        <f t="shared" si="48"/>
        <v>96073863.46</v>
      </c>
      <c r="AW24" s="47">
        <f t="shared" ref="AW24:AY24" si="89">MIN(C24,F24,I24,L24,O24,R24,U24,X24,AA24,AD24,AG24,AJ24,AM24,AP24)</f>
        <v>48259934</v>
      </c>
      <c r="AX24" s="50">
        <f t="shared" si="89"/>
        <v>10796147</v>
      </c>
      <c r="AY24" s="51">
        <f t="shared" si="89"/>
        <v>1.008619244</v>
      </c>
      <c r="AZ24" s="47">
        <f t="shared" ref="AZ24:BB24" si="90">MAX(C24,F24,I24,L24,O24,R24,U24,X24,AA24,AD24,AG24,AJ24,AM24,AP24)</f>
        <v>1982908609</v>
      </c>
      <c r="BA24" s="50">
        <f t="shared" si="90"/>
        <v>48999193</v>
      </c>
      <c r="BB24" s="48">
        <f t="shared" si="90"/>
        <v>151.37147</v>
      </c>
      <c r="BC24" s="52"/>
      <c r="BD24" s="52"/>
      <c r="BE24" s="52"/>
      <c r="BF24" s="52"/>
      <c r="BG24" s="52"/>
    </row>
    <row r="25">
      <c r="A25" s="39">
        <v>25.0</v>
      </c>
      <c r="B25" s="40" t="s">
        <v>180</v>
      </c>
      <c r="C25" s="41">
        <f t="shared" si="3"/>
        <v>841607290</v>
      </c>
      <c r="D25" s="42">
        <f t="shared" si="4"/>
        <v>13624762</v>
      </c>
      <c r="E25" s="43">
        <f t="shared" si="5"/>
        <v>61.77042138</v>
      </c>
      <c r="F25" s="41">
        <f t="shared" si="6"/>
        <v>1412697929</v>
      </c>
      <c r="G25" s="42">
        <f t="shared" si="7"/>
        <v>44317609</v>
      </c>
      <c r="H25" s="43">
        <f t="shared" si="8"/>
        <v>31.87667297</v>
      </c>
      <c r="I25" s="44">
        <f t="shared" si="9"/>
        <v>998594185</v>
      </c>
      <c r="J25" s="45">
        <f t="shared" si="10"/>
        <v>37455146</v>
      </c>
      <c r="K25" s="46">
        <f t="shared" si="11"/>
        <v>26.66106775</v>
      </c>
      <c r="L25" s="44">
        <f t="shared" si="12"/>
        <v>947372442</v>
      </c>
      <c r="M25" s="45">
        <f t="shared" si="13"/>
        <v>35140618</v>
      </c>
      <c r="N25" s="46">
        <f t="shared" si="14"/>
        <v>26.95947015</v>
      </c>
      <c r="O25" s="44">
        <f t="shared" si="15"/>
        <v>1929237521</v>
      </c>
      <c r="P25" s="45">
        <f t="shared" si="16"/>
        <v>13816986</v>
      </c>
      <c r="Q25" s="46">
        <f t="shared" si="17"/>
        <v>139.6279566</v>
      </c>
      <c r="R25" s="44">
        <f t="shared" si="18"/>
        <v>92937792</v>
      </c>
      <c r="S25" s="45">
        <f t="shared" si="19"/>
        <v>14167382</v>
      </c>
      <c r="T25" s="46">
        <f t="shared" si="20"/>
        <v>6.559983489</v>
      </c>
      <c r="U25" s="44">
        <f t="shared" si="21"/>
        <v>577933209</v>
      </c>
      <c r="V25" s="45">
        <f t="shared" si="22"/>
        <v>34209668</v>
      </c>
      <c r="W25" s="46">
        <f t="shared" si="23"/>
        <v>16.89385612</v>
      </c>
      <c r="X25" s="44">
        <f t="shared" si="24"/>
        <v>1761404791</v>
      </c>
      <c r="Y25" s="45">
        <f t="shared" si="25"/>
        <v>27264787</v>
      </c>
      <c r="Z25" s="46">
        <f t="shared" si="26"/>
        <v>64.60365126</v>
      </c>
      <c r="AA25" s="44">
        <f t="shared" si="27"/>
        <v>1300749416</v>
      </c>
      <c r="AB25" s="45">
        <f t="shared" si="28"/>
        <v>37967001</v>
      </c>
      <c r="AC25" s="46">
        <f t="shared" si="29"/>
        <v>34.25999899</v>
      </c>
      <c r="AD25" s="44">
        <f t="shared" si="30"/>
        <v>391129781</v>
      </c>
      <c r="AE25" s="45">
        <f t="shared" si="31"/>
        <v>37287310</v>
      </c>
      <c r="AF25" s="46">
        <f t="shared" si="32"/>
        <v>10.48962183</v>
      </c>
      <c r="AG25" s="44">
        <f t="shared" si="33"/>
        <v>516207866</v>
      </c>
      <c r="AH25" s="45">
        <f t="shared" si="34"/>
        <v>10000210</v>
      </c>
      <c r="AI25" s="46">
        <f t="shared" si="35"/>
        <v>51.61970259</v>
      </c>
      <c r="AJ25" s="44">
        <f t="shared" si="36"/>
        <v>1056897536</v>
      </c>
      <c r="AK25" s="45">
        <f t="shared" si="37"/>
        <v>12807158</v>
      </c>
      <c r="AL25" s="46">
        <f t="shared" si="38"/>
        <v>82.52397105</v>
      </c>
      <c r="AM25" s="44">
        <f t="shared" si="39"/>
        <v>1572596347</v>
      </c>
      <c r="AN25" s="45">
        <f t="shared" si="40"/>
        <v>33685119</v>
      </c>
      <c r="AO25" s="46">
        <f t="shared" si="41"/>
        <v>46.68519494</v>
      </c>
      <c r="AP25" s="44">
        <f t="shared" si="42"/>
        <v>422909164</v>
      </c>
      <c r="AQ25" s="45">
        <f t="shared" si="43"/>
        <v>39030191</v>
      </c>
      <c r="AR25" s="46">
        <f t="shared" si="44"/>
        <v>10.8354367</v>
      </c>
      <c r="AS25" s="47">
        <f t="shared" si="45"/>
        <v>13822275269</v>
      </c>
      <c r="AT25" s="48">
        <f t="shared" si="46"/>
        <v>1929237966</v>
      </c>
      <c r="AU25" s="47">
        <f t="shared" si="47"/>
        <v>987305377</v>
      </c>
      <c r="AV25" s="49">
        <f t="shared" si="48"/>
        <v>148402920.4</v>
      </c>
      <c r="AW25" s="47">
        <f t="shared" ref="AW25:AY25" si="91">MIN(C25,F25,I25,L25,O25,R25,U25,X25,AA25,AD25,AG25,AJ25,AM25,AP25)</f>
        <v>92937792</v>
      </c>
      <c r="AX25" s="50">
        <f t="shared" si="91"/>
        <v>10000210</v>
      </c>
      <c r="AY25" s="51">
        <f t="shared" si="91"/>
        <v>6.559983489</v>
      </c>
      <c r="AZ25" s="47">
        <f t="shared" ref="AZ25:BB25" si="92">MAX(C25,F25,I25,L25,O25,R25,U25,X25,AA25,AD25,AG25,AJ25,AM25,AP25)</f>
        <v>1929237521</v>
      </c>
      <c r="BA25" s="50">
        <f t="shared" si="92"/>
        <v>44317609</v>
      </c>
      <c r="BB25" s="48">
        <f t="shared" si="92"/>
        <v>139.6279566</v>
      </c>
      <c r="BC25" s="52"/>
      <c r="BD25" s="52"/>
      <c r="BE25" s="52"/>
      <c r="BF25" s="52"/>
      <c r="BG25" s="52"/>
    </row>
    <row r="26">
      <c r="A26" s="39">
        <v>26.0</v>
      </c>
      <c r="B26" s="40" t="s">
        <v>181</v>
      </c>
      <c r="C26" s="41">
        <f t="shared" si="3"/>
        <v>1331226581</v>
      </c>
      <c r="D26" s="42">
        <f t="shared" si="4"/>
        <v>47991167</v>
      </c>
      <c r="E26" s="43">
        <f t="shared" si="5"/>
        <v>27.73899166</v>
      </c>
      <c r="F26" s="41">
        <f t="shared" si="6"/>
        <v>1158139871</v>
      </c>
      <c r="G26" s="42">
        <f t="shared" si="7"/>
        <v>11412494</v>
      </c>
      <c r="H26" s="43">
        <f t="shared" si="8"/>
        <v>101.4799982</v>
      </c>
      <c r="I26" s="44">
        <f t="shared" si="9"/>
        <v>213152468</v>
      </c>
      <c r="J26" s="45">
        <f t="shared" si="10"/>
        <v>40140213</v>
      </c>
      <c r="K26" s="46">
        <f t="shared" si="11"/>
        <v>5.310197731</v>
      </c>
      <c r="L26" s="44">
        <f t="shared" si="12"/>
        <v>320993257</v>
      </c>
      <c r="M26" s="45">
        <f t="shared" si="13"/>
        <v>43052149</v>
      </c>
      <c r="N26" s="46">
        <f t="shared" si="14"/>
        <v>7.455917172</v>
      </c>
      <c r="O26" s="44">
        <f t="shared" si="15"/>
        <v>1645448154</v>
      </c>
      <c r="P26" s="45">
        <f t="shared" si="16"/>
        <v>23233547</v>
      </c>
      <c r="Q26" s="46">
        <f t="shared" si="17"/>
        <v>70.82208128</v>
      </c>
      <c r="R26" s="44">
        <f t="shared" si="18"/>
        <v>1563022815</v>
      </c>
      <c r="S26" s="45">
        <f t="shared" si="19"/>
        <v>19387231</v>
      </c>
      <c r="T26" s="46">
        <f t="shared" si="20"/>
        <v>80.62125092</v>
      </c>
      <c r="U26" s="44">
        <f t="shared" si="21"/>
        <v>1556100746</v>
      </c>
      <c r="V26" s="45">
        <f t="shared" si="22"/>
        <v>41298356</v>
      </c>
      <c r="W26" s="46">
        <f t="shared" si="23"/>
        <v>37.67948405</v>
      </c>
      <c r="X26" s="44">
        <f t="shared" si="24"/>
        <v>394917033</v>
      </c>
      <c r="Y26" s="45">
        <f t="shared" si="25"/>
        <v>33132639</v>
      </c>
      <c r="Z26" s="46">
        <f t="shared" si="26"/>
        <v>11.91927492</v>
      </c>
      <c r="AA26" s="44">
        <f t="shared" si="27"/>
        <v>1226276962</v>
      </c>
      <c r="AB26" s="45">
        <f t="shared" si="28"/>
        <v>33073926</v>
      </c>
      <c r="AC26" s="46">
        <f t="shared" si="29"/>
        <v>37.07684906</v>
      </c>
      <c r="AD26" s="44">
        <f t="shared" si="30"/>
        <v>1721717639</v>
      </c>
      <c r="AE26" s="45">
        <f t="shared" si="31"/>
        <v>25364871</v>
      </c>
      <c r="AF26" s="46">
        <f t="shared" si="32"/>
        <v>67.87803648</v>
      </c>
      <c r="AG26" s="44">
        <f t="shared" si="33"/>
        <v>1496623629</v>
      </c>
      <c r="AH26" s="45">
        <f t="shared" si="34"/>
        <v>39489350</v>
      </c>
      <c r="AI26" s="46">
        <f t="shared" si="35"/>
        <v>37.89942425</v>
      </c>
      <c r="AJ26" s="44">
        <f t="shared" si="36"/>
        <v>88812953</v>
      </c>
      <c r="AK26" s="45">
        <f t="shared" si="37"/>
        <v>43766425</v>
      </c>
      <c r="AL26" s="46">
        <f t="shared" si="38"/>
        <v>2.029248516</v>
      </c>
      <c r="AM26" s="44">
        <f t="shared" si="39"/>
        <v>30691396</v>
      </c>
      <c r="AN26" s="45">
        <f t="shared" si="40"/>
        <v>49455418</v>
      </c>
      <c r="AO26" s="46">
        <f t="shared" si="41"/>
        <v>0.6205871316</v>
      </c>
      <c r="AP26" s="44">
        <f t="shared" si="42"/>
        <v>1269875151</v>
      </c>
      <c r="AQ26" s="45">
        <f t="shared" si="43"/>
        <v>41995630</v>
      </c>
      <c r="AR26" s="46">
        <f t="shared" si="44"/>
        <v>30.23826886</v>
      </c>
      <c r="AS26" s="47">
        <f t="shared" si="45"/>
        <v>14016998655</v>
      </c>
      <c r="AT26" s="48">
        <f t="shared" si="46"/>
        <v>1645448594</v>
      </c>
      <c r="AU26" s="47">
        <f t="shared" si="47"/>
        <v>1001214190</v>
      </c>
      <c r="AV26" s="49">
        <f t="shared" si="48"/>
        <v>126572968.8</v>
      </c>
      <c r="AW26" s="47">
        <f t="shared" ref="AW26:AY26" si="93">MIN(C26,F26,I26,L26,O26,R26,U26,X26,AA26,AD26,AG26,AJ26,AM26,AP26)</f>
        <v>30691396</v>
      </c>
      <c r="AX26" s="50">
        <f t="shared" si="93"/>
        <v>11412494</v>
      </c>
      <c r="AY26" s="51">
        <f t="shared" si="93"/>
        <v>0.6205871316</v>
      </c>
      <c r="AZ26" s="47">
        <f t="shared" ref="AZ26:BB26" si="94">MAX(C26,F26,I26,L26,O26,R26,U26,X26,AA26,AD26,AG26,AJ26,AM26,AP26)</f>
        <v>1721717639</v>
      </c>
      <c r="BA26" s="50">
        <f t="shared" si="94"/>
        <v>49455418</v>
      </c>
      <c r="BB26" s="48">
        <f t="shared" si="94"/>
        <v>101.4799982</v>
      </c>
      <c r="BC26" s="52"/>
      <c r="BD26" s="52"/>
      <c r="BE26" s="52"/>
      <c r="BF26" s="52"/>
      <c r="BG26" s="52"/>
    </row>
    <row r="27">
      <c r="A27" s="39">
        <v>27.0</v>
      </c>
      <c r="B27" s="40" t="s">
        <v>182</v>
      </c>
      <c r="C27" s="41">
        <f t="shared" si="3"/>
        <v>1073400114</v>
      </c>
      <c r="D27" s="42">
        <f t="shared" si="4"/>
        <v>46597722</v>
      </c>
      <c r="E27" s="43">
        <f t="shared" si="5"/>
        <v>23.03546328</v>
      </c>
      <c r="F27" s="41">
        <f t="shared" si="6"/>
        <v>849987939</v>
      </c>
      <c r="G27" s="42">
        <f t="shared" si="7"/>
        <v>16712654</v>
      </c>
      <c r="H27" s="43">
        <f t="shared" si="8"/>
        <v>50.85894431</v>
      </c>
      <c r="I27" s="44">
        <f t="shared" si="9"/>
        <v>741879566</v>
      </c>
      <c r="J27" s="45">
        <f t="shared" si="10"/>
        <v>28362796</v>
      </c>
      <c r="K27" s="46">
        <f t="shared" si="11"/>
        <v>26.15678532</v>
      </c>
      <c r="L27" s="44">
        <f t="shared" si="12"/>
        <v>408664291</v>
      </c>
      <c r="M27" s="45">
        <f t="shared" si="13"/>
        <v>32382207</v>
      </c>
      <c r="N27" s="46">
        <f t="shared" si="14"/>
        <v>12.6200259</v>
      </c>
      <c r="O27" s="44">
        <f t="shared" si="15"/>
        <v>1500894150</v>
      </c>
      <c r="P27" s="45">
        <f t="shared" si="16"/>
        <v>23886614</v>
      </c>
      <c r="Q27" s="46">
        <f t="shared" si="17"/>
        <v>62.83411077</v>
      </c>
      <c r="R27" s="44">
        <f t="shared" si="18"/>
        <v>842404370</v>
      </c>
      <c r="S27" s="45">
        <f t="shared" si="19"/>
        <v>19609722</v>
      </c>
      <c r="T27" s="46">
        <f t="shared" si="20"/>
        <v>42.9585065</v>
      </c>
      <c r="U27" s="44">
        <f t="shared" si="21"/>
        <v>5369555</v>
      </c>
      <c r="V27" s="45">
        <f t="shared" si="22"/>
        <v>16214280</v>
      </c>
      <c r="W27" s="46">
        <f t="shared" si="23"/>
        <v>0.3311620991</v>
      </c>
      <c r="X27" s="44">
        <f t="shared" si="24"/>
        <v>15923948</v>
      </c>
      <c r="Y27" s="45">
        <f t="shared" si="25"/>
        <v>10763601</v>
      </c>
      <c r="Z27" s="46">
        <f t="shared" si="26"/>
        <v>1.479425705</v>
      </c>
      <c r="AA27" s="44">
        <f t="shared" si="27"/>
        <v>1973625154</v>
      </c>
      <c r="AB27" s="45">
        <f t="shared" si="28"/>
        <v>42017645</v>
      </c>
      <c r="AC27" s="46">
        <f t="shared" si="29"/>
        <v>46.97134154</v>
      </c>
      <c r="AD27" s="44">
        <f t="shared" si="30"/>
        <v>522495399</v>
      </c>
      <c r="AE27" s="45">
        <f t="shared" si="31"/>
        <v>33969123</v>
      </c>
      <c r="AF27" s="46">
        <f t="shared" si="32"/>
        <v>15.38148038</v>
      </c>
      <c r="AG27" s="44">
        <f t="shared" si="33"/>
        <v>853357423</v>
      </c>
      <c r="AH27" s="45">
        <f t="shared" si="34"/>
        <v>4603046</v>
      </c>
      <c r="AI27" s="46">
        <f t="shared" si="35"/>
        <v>185.389723</v>
      </c>
      <c r="AJ27" s="44">
        <f t="shared" si="36"/>
        <v>131452931</v>
      </c>
      <c r="AK27" s="45">
        <f t="shared" si="37"/>
        <v>28369854</v>
      </c>
      <c r="AL27" s="46">
        <f t="shared" si="38"/>
        <v>4.633542739</v>
      </c>
      <c r="AM27" s="44">
        <f t="shared" si="39"/>
        <v>1720909235</v>
      </c>
      <c r="AN27" s="45">
        <f t="shared" si="40"/>
        <v>12258062</v>
      </c>
      <c r="AO27" s="46">
        <f t="shared" si="41"/>
        <v>140.3899927</v>
      </c>
      <c r="AP27" s="44">
        <f t="shared" si="42"/>
        <v>515767269</v>
      </c>
      <c r="AQ27" s="45">
        <f t="shared" si="43"/>
        <v>45665396</v>
      </c>
      <c r="AR27" s="46">
        <f t="shared" si="44"/>
        <v>11.29448804</v>
      </c>
      <c r="AS27" s="47">
        <f t="shared" si="45"/>
        <v>11156131344</v>
      </c>
      <c r="AT27" s="48">
        <f t="shared" si="46"/>
        <v>1500894699</v>
      </c>
      <c r="AU27" s="47">
        <f t="shared" si="47"/>
        <v>796866525</v>
      </c>
      <c r="AV27" s="49">
        <f t="shared" si="48"/>
        <v>115453438.4</v>
      </c>
      <c r="AW27" s="47">
        <f t="shared" ref="AW27:AY27" si="95">MIN(C27,F27,I27,L27,O27,R27,U27,X27,AA27,AD27,AG27,AJ27,AM27,AP27)</f>
        <v>5369555</v>
      </c>
      <c r="AX27" s="50">
        <f t="shared" si="95"/>
        <v>4603046</v>
      </c>
      <c r="AY27" s="51">
        <f t="shared" si="95"/>
        <v>0.3311620991</v>
      </c>
      <c r="AZ27" s="47">
        <f t="shared" ref="AZ27:BB27" si="96">MAX(C27,F27,I27,L27,O27,R27,U27,X27,AA27,AD27,AG27,AJ27,AM27,AP27)</f>
        <v>1973625154</v>
      </c>
      <c r="BA27" s="50">
        <f t="shared" si="96"/>
        <v>46597722</v>
      </c>
      <c r="BB27" s="48">
        <f t="shared" si="96"/>
        <v>185.389723</v>
      </c>
      <c r="BC27" s="52"/>
      <c r="BD27" s="52"/>
      <c r="BE27" s="52"/>
      <c r="BF27" s="52"/>
      <c r="BG27" s="52"/>
    </row>
    <row r="28">
      <c r="A28" s="39">
        <v>28.0</v>
      </c>
      <c r="B28" s="40" t="s">
        <v>183</v>
      </c>
      <c r="C28" s="41">
        <f t="shared" si="3"/>
        <v>1954345570</v>
      </c>
      <c r="D28" s="42">
        <f t="shared" si="4"/>
        <v>2244846</v>
      </c>
      <c r="E28" s="43">
        <f t="shared" si="5"/>
        <v>870.5922678</v>
      </c>
      <c r="F28" s="41">
        <f t="shared" si="6"/>
        <v>1468664362</v>
      </c>
      <c r="G28" s="42">
        <f t="shared" si="7"/>
        <v>24649953</v>
      </c>
      <c r="H28" s="43">
        <f t="shared" si="8"/>
        <v>59.58081794</v>
      </c>
      <c r="I28" s="44">
        <f t="shared" si="9"/>
        <v>54007647</v>
      </c>
      <c r="J28" s="45">
        <f t="shared" si="10"/>
        <v>39220640</v>
      </c>
      <c r="K28" s="46">
        <f t="shared" si="11"/>
        <v>1.377021053</v>
      </c>
      <c r="L28" s="44">
        <f t="shared" si="12"/>
        <v>93523482</v>
      </c>
      <c r="M28" s="45">
        <f t="shared" si="13"/>
        <v>25252670</v>
      </c>
      <c r="N28" s="46">
        <f t="shared" si="14"/>
        <v>3.703508659</v>
      </c>
      <c r="O28" s="44">
        <f t="shared" si="15"/>
        <v>686521377</v>
      </c>
      <c r="P28" s="45">
        <f t="shared" si="16"/>
        <v>26091753</v>
      </c>
      <c r="Q28" s="46">
        <f t="shared" si="17"/>
        <v>26.31181496</v>
      </c>
      <c r="R28" s="44">
        <f t="shared" si="18"/>
        <v>1997844970</v>
      </c>
      <c r="S28" s="45">
        <f t="shared" si="19"/>
        <v>34072966</v>
      </c>
      <c r="T28" s="46">
        <f t="shared" si="20"/>
        <v>58.63431349</v>
      </c>
      <c r="U28" s="44">
        <f t="shared" si="21"/>
        <v>183929058</v>
      </c>
      <c r="V28" s="45">
        <f t="shared" si="22"/>
        <v>21448054</v>
      </c>
      <c r="W28" s="46">
        <f t="shared" si="23"/>
        <v>8.575559256</v>
      </c>
      <c r="X28" s="44">
        <f t="shared" si="24"/>
        <v>211650961</v>
      </c>
      <c r="Y28" s="45">
        <f t="shared" si="25"/>
        <v>19570829</v>
      </c>
      <c r="Z28" s="46">
        <f t="shared" si="26"/>
        <v>10.81461398</v>
      </c>
      <c r="AA28" s="44">
        <f t="shared" si="27"/>
        <v>1005816625</v>
      </c>
      <c r="AB28" s="45">
        <f t="shared" si="28"/>
        <v>17824555</v>
      </c>
      <c r="AC28" s="46">
        <f t="shared" si="29"/>
        <v>56.42870888</v>
      </c>
      <c r="AD28" s="44">
        <f t="shared" si="30"/>
        <v>989270759</v>
      </c>
      <c r="AE28" s="45">
        <f t="shared" si="31"/>
        <v>33910580</v>
      </c>
      <c r="AF28" s="46">
        <f t="shared" si="32"/>
        <v>29.17292358</v>
      </c>
      <c r="AG28" s="44">
        <f t="shared" si="33"/>
        <v>460335791</v>
      </c>
      <c r="AH28" s="45">
        <f t="shared" si="34"/>
        <v>7788695</v>
      </c>
      <c r="AI28" s="46">
        <f t="shared" si="35"/>
        <v>59.10307067</v>
      </c>
      <c r="AJ28" s="44">
        <f t="shared" si="36"/>
        <v>285952839</v>
      </c>
      <c r="AK28" s="45">
        <f t="shared" si="37"/>
        <v>2084361</v>
      </c>
      <c r="AL28" s="46">
        <f t="shared" si="38"/>
        <v>137.1896898</v>
      </c>
      <c r="AM28" s="44">
        <f t="shared" si="39"/>
        <v>132160653</v>
      </c>
      <c r="AN28" s="45">
        <f t="shared" si="40"/>
        <v>1426389</v>
      </c>
      <c r="AO28" s="46">
        <f t="shared" si="41"/>
        <v>92.65400462</v>
      </c>
      <c r="AP28" s="44">
        <f t="shared" si="42"/>
        <v>619297723</v>
      </c>
      <c r="AQ28" s="45">
        <f t="shared" si="43"/>
        <v>46424580</v>
      </c>
      <c r="AR28" s="46">
        <f t="shared" si="44"/>
        <v>13.33986701</v>
      </c>
      <c r="AS28" s="47">
        <f t="shared" si="45"/>
        <v>10143321817</v>
      </c>
      <c r="AT28" s="48">
        <f t="shared" si="46"/>
        <v>686522774.5</v>
      </c>
      <c r="AU28" s="47">
        <f t="shared" si="47"/>
        <v>724522987</v>
      </c>
      <c r="AV28" s="49">
        <f t="shared" si="48"/>
        <v>52809444.19</v>
      </c>
      <c r="AW28" s="47">
        <f t="shared" ref="AW28:AY28" si="97">MIN(C28,F28,I28,L28,O28,R28,U28,X28,AA28,AD28,AG28,AJ28,AM28,AP28)</f>
        <v>54007647</v>
      </c>
      <c r="AX28" s="50">
        <f t="shared" si="97"/>
        <v>1426389</v>
      </c>
      <c r="AY28" s="51">
        <f t="shared" si="97"/>
        <v>1.377021053</v>
      </c>
      <c r="AZ28" s="47">
        <f t="shared" ref="AZ28:BB28" si="98">MAX(C28,F28,I28,L28,O28,R28,U28,X28,AA28,AD28,AG28,AJ28,AM28,AP28)</f>
        <v>1997844970</v>
      </c>
      <c r="BA28" s="50">
        <f t="shared" si="98"/>
        <v>46424580</v>
      </c>
      <c r="BB28" s="48">
        <f t="shared" si="98"/>
        <v>870.5922678</v>
      </c>
      <c r="BC28" s="52"/>
      <c r="BD28" s="52"/>
      <c r="BE28" s="52"/>
      <c r="BF28" s="52"/>
      <c r="BG28" s="52"/>
    </row>
    <row r="29">
      <c r="A29" s="39">
        <v>30.0</v>
      </c>
      <c r="B29" s="40" t="s">
        <v>184</v>
      </c>
      <c r="C29" s="41">
        <f t="shared" si="3"/>
        <v>1058373177</v>
      </c>
      <c r="D29" s="42">
        <f t="shared" si="4"/>
        <v>24658782</v>
      </c>
      <c r="E29" s="43">
        <f t="shared" si="5"/>
        <v>42.92074025</v>
      </c>
      <c r="F29" s="41">
        <f t="shared" si="6"/>
        <v>620177618</v>
      </c>
      <c r="G29" s="42">
        <f t="shared" si="7"/>
        <v>29958316</v>
      </c>
      <c r="H29" s="43">
        <f t="shared" si="8"/>
        <v>20.7013511</v>
      </c>
      <c r="I29" s="44">
        <f t="shared" si="9"/>
        <v>991625968</v>
      </c>
      <c r="J29" s="45">
        <f t="shared" si="10"/>
        <v>29105864</v>
      </c>
      <c r="K29" s="46">
        <f t="shared" si="11"/>
        <v>34.06962831</v>
      </c>
      <c r="L29" s="44">
        <f t="shared" si="12"/>
        <v>1948800381</v>
      </c>
      <c r="M29" s="45">
        <f t="shared" si="13"/>
        <v>6885363</v>
      </c>
      <c r="N29" s="46">
        <f t="shared" si="14"/>
        <v>283.0352417</v>
      </c>
      <c r="O29" s="44">
        <f t="shared" si="15"/>
        <v>1269384163</v>
      </c>
      <c r="P29" s="45">
        <f t="shared" si="16"/>
        <v>46896141</v>
      </c>
      <c r="Q29" s="46">
        <f t="shared" si="17"/>
        <v>27.0679876</v>
      </c>
      <c r="R29" s="44">
        <f t="shared" si="18"/>
        <v>1619803637</v>
      </c>
      <c r="S29" s="45">
        <f t="shared" si="19"/>
        <v>10133183</v>
      </c>
      <c r="T29" s="46">
        <f t="shared" si="20"/>
        <v>159.8514146</v>
      </c>
      <c r="U29" s="44">
        <f t="shared" si="21"/>
        <v>1742486246</v>
      </c>
      <c r="V29" s="45">
        <f t="shared" si="22"/>
        <v>18167922</v>
      </c>
      <c r="W29" s="46">
        <f t="shared" si="23"/>
        <v>95.91004662</v>
      </c>
      <c r="X29" s="44">
        <f t="shared" si="24"/>
        <v>379284882</v>
      </c>
      <c r="Y29" s="45">
        <f t="shared" si="25"/>
        <v>35649801</v>
      </c>
      <c r="Z29" s="46">
        <f t="shared" si="26"/>
        <v>10.63918651</v>
      </c>
      <c r="AA29" s="44">
        <f t="shared" si="27"/>
        <v>1442471752</v>
      </c>
      <c r="AB29" s="45">
        <f t="shared" si="28"/>
        <v>23205155</v>
      </c>
      <c r="AC29" s="46">
        <f t="shared" si="29"/>
        <v>62.16169433</v>
      </c>
      <c r="AD29" s="44">
        <f t="shared" si="30"/>
        <v>1966962544</v>
      </c>
      <c r="AE29" s="45">
        <f t="shared" si="31"/>
        <v>37475101</v>
      </c>
      <c r="AF29" s="46">
        <f t="shared" si="32"/>
        <v>52.4871846</v>
      </c>
      <c r="AG29" s="44">
        <f t="shared" si="33"/>
        <v>981349215</v>
      </c>
      <c r="AH29" s="45">
        <f t="shared" si="34"/>
        <v>2005207</v>
      </c>
      <c r="AI29" s="46">
        <f t="shared" si="35"/>
        <v>489.4004534</v>
      </c>
      <c r="AJ29" s="44">
        <f t="shared" si="36"/>
        <v>161922151</v>
      </c>
      <c r="AK29" s="45">
        <f t="shared" si="37"/>
        <v>17802068</v>
      </c>
      <c r="AL29" s="46">
        <f t="shared" si="38"/>
        <v>9.095693321</v>
      </c>
      <c r="AM29" s="44">
        <f t="shared" si="39"/>
        <v>930408456</v>
      </c>
      <c r="AN29" s="45">
        <f t="shared" si="40"/>
        <v>46508592</v>
      </c>
      <c r="AO29" s="46">
        <f t="shared" si="41"/>
        <v>20.00508758</v>
      </c>
      <c r="AP29" s="44">
        <f t="shared" si="42"/>
        <v>1376162449</v>
      </c>
      <c r="AQ29" s="45">
        <f t="shared" si="43"/>
        <v>48552585</v>
      </c>
      <c r="AR29" s="46">
        <f t="shared" si="44"/>
        <v>28.34375243</v>
      </c>
      <c r="AS29" s="47">
        <f t="shared" si="45"/>
        <v>16489212639</v>
      </c>
      <c r="AT29" s="48">
        <f t="shared" si="46"/>
        <v>1269385189</v>
      </c>
      <c r="AU29" s="47">
        <f t="shared" si="47"/>
        <v>1177800903</v>
      </c>
      <c r="AV29" s="49">
        <f t="shared" si="48"/>
        <v>97645014.51</v>
      </c>
      <c r="AW29" s="47">
        <f t="shared" ref="AW29:AY29" si="99">MIN(C29,F29,I29,L29,O29,R29,U29,X29,AA29,AD29,AG29,AJ29,AM29,AP29)</f>
        <v>161922151</v>
      </c>
      <c r="AX29" s="50">
        <f t="shared" si="99"/>
        <v>2005207</v>
      </c>
      <c r="AY29" s="51">
        <f t="shared" si="99"/>
        <v>9.095693321</v>
      </c>
      <c r="AZ29" s="47">
        <f t="shared" ref="AZ29:BB29" si="100">MAX(C29,F29,I29,L29,O29,R29,U29,X29,AA29,AD29,AG29,AJ29,AM29,AP29)</f>
        <v>1966962544</v>
      </c>
      <c r="BA29" s="50">
        <f t="shared" si="100"/>
        <v>48552585</v>
      </c>
      <c r="BB29" s="48">
        <f t="shared" si="100"/>
        <v>489.4004534</v>
      </c>
      <c r="BC29" s="52"/>
      <c r="BD29" s="52"/>
      <c r="BE29" s="52"/>
      <c r="BF29" s="52"/>
      <c r="BG29" s="52"/>
    </row>
    <row r="30">
      <c r="A30" s="39">
        <v>31.0</v>
      </c>
      <c r="B30" s="40" t="s">
        <v>185</v>
      </c>
      <c r="C30" s="41">
        <f t="shared" si="3"/>
        <v>1332478688</v>
      </c>
      <c r="D30" s="42">
        <f t="shared" si="4"/>
        <v>5016817</v>
      </c>
      <c r="E30" s="43">
        <f t="shared" si="5"/>
        <v>265.6024105</v>
      </c>
      <c r="F30" s="41">
        <f t="shared" si="6"/>
        <v>533600865</v>
      </c>
      <c r="G30" s="42">
        <f t="shared" si="7"/>
        <v>12848987</v>
      </c>
      <c r="H30" s="43">
        <f t="shared" si="8"/>
        <v>41.52863296</v>
      </c>
      <c r="I30" s="44">
        <f t="shared" si="9"/>
        <v>232996534</v>
      </c>
      <c r="J30" s="45">
        <f t="shared" si="10"/>
        <v>26695745</v>
      </c>
      <c r="K30" s="46">
        <f t="shared" si="11"/>
        <v>8.727852847</v>
      </c>
      <c r="L30" s="44">
        <f t="shared" si="12"/>
        <v>1233867377</v>
      </c>
      <c r="M30" s="45">
        <f t="shared" si="13"/>
        <v>9323419</v>
      </c>
      <c r="N30" s="46">
        <f t="shared" si="14"/>
        <v>132.340655</v>
      </c>
      <c r="O30" s="44">
        <f t="shared" si="15"/>
        <v>1278311366</v>
      </c>
      <c r="P30" s="45">
        <f t="shared" si="16"/>
        <v>15668671</v>
      </c>
      <c r="Q30" s="46">
        <f t="shared" si="17"/>
        <v>81.58390498</v>
      </c>
      <c r="R30" s="44">
        <f t="shared" si="18"/>
        <v>1182215003</v>
      </c>
      <c r="S30" s="45">
        <f t="shared" si="19"/>
        <v>43431801</v>
      </c>
      <c r="T30" s="46">
        <f t="shared" si="20"/>
        <v>27.22003177</v>
      </c>
      <c r="U30" s="44">
        <f t="shared" si="21"/>
        <v>1718618901</v>
      </c>
      <c r="V30" s="45">
        <f t="shared" si="22"/>
        <v>12732894</v>
      </c>
      <c r="W30" s="46">
        <f t="shared" si="23"/>
        <v>134.9747277</v>
      </c>
      <c r="X30" s="44">
        <f t="shared" si="24"/>
        <v>320100850</v>
      </c>
      <c r="Y30" s="45">
        <f t="shared" si="25"/>
        <v>29879388</v>
      </c>
      <c r="Z30" s="46">
        <f t="shared" si="26"/>
        <v>10.71309928</v>
      </c>
      <c r="AA30" s="44">
        <f t="shared" si="27"/>
        <v>1493206614</v>
      </c>
      <c r="AB30" s="45">
        <f t="shared" si="28"/>
        <v>6701885</v>
      </c>
      <c r="AC30" s="46">
        <f t="shared" si="29"/>
        <v>222.8039744</v>
      </c>
      <c r="AD30" s="44">
        <f t="shared" si="30"/>
        <v>1147384767</v>
      </c>
      <c r="AE30" s="45">
        <f t="shared" si="31"/>
        <v>1538999</v>
      </c>
      <c r="AF30" s="46">
        <f t="shared" si="32"/>
        <v>745.5396443</v>
      </c>
      <c r="AG30" s="44">
        <f t="shared" si="33"/>
        <v>487636272</v>
      </c>
      <c r="AH30" s="45">
        <f t="shared" si="34"/>
        <v>49983917</v>
      </c>
      <c r="AI30" s="46">
        <f t="shared" si="35"/>
        <v>9.755863511</v>
      </c>
      <c r="AJ30" s="44">
        <f t="shared" si="36"/>
        <v>1510812576</v>
      </c>
      <c r="AK30" s="45">
        <f t="shared" si="37"/>
        <v>44090859</v>
      </c>
      <c r="AL30" s="46">
        <f t="shared" si="38"/>
        <v>34.26589117</v>
      </c>
      <c r="AM30" s="44">
        <f t="shared" si="39"/>
        <v>1943082194</v>
      </c>
      <c r="AN30" s="45">
        <f t="shared" si="40"/>
        <v>21227247</v>
      </c>
      <c r="AO30" s="46">
        <f t="shared" si="41"/>
        <v>91.53717361</v>
      </c>
      <c r="AP30" s="44">
        <f t="shared" si="42"/>
        <v>279670372</v>
      </c>
      <c r="AQ30" s="45">
        <f t="shared" si="43"/>
        <v>45948910</v>
      </c>
      <c r="AR30" s="46">
        <f t="shared" si="44"/>
        <v>6.086550736</v>
      </c>
      <c r="AS30" s="47">
        <f t="shared" si="45"/>
        <v>14693982379</v>
      </c>
      <c r="AT30" s="48">
        <f t="shared" si="46"/>
        <v>1278312965</v>
      </c>
      <c r="AU30" s="47">
        <f t="shared" si="47"/>
        <v>1049570170</v>
      </c>
      <c r="AV30" s="49">
        <f t="shared" si="48"/>
        <v>98331766.52</v>
      </c>
      <c r="AW30" s="47">
        <f t="shared" ref="AW30:AY30" si="101">MIN(C30,F30,I30,L30,O30,R30,U30,X30,AA30,AD30,AG30,AJ30,AM30,AP30)</f>
        <v>232996534</v>
      </c>
      <c r="AX30" s="50">
        <f t="shared" si="101"/>
        <v>1538999</v>
      </c>
      <c r="AY30" s="51">
        <f t="shared" si="101"/>
        <v>6.086550736</v>
      </c>
      <c r="AZ30" s="47">
        <f t="shared" ref="AZ30:BB30" si="102">MAX(C30,F30,I30,L30,O30,R30,U30,X30,AA30,AD30,AG30,AJ30,AM30,AP30)</f>
        <v>1943082194</v>
      </c>
      <c r="BA30" s="50">
        <f t="shared" si="102"/>
        <v>49983917</v>
      </c>
      <c r="BB30" s="48">
        <f t="shared" si="102"/>
        <v>745.5396443</v>
      </c>
      <c r="BC30" s="52"/>
      <c r="BD30" s="52"/>
      <c r="BE30" s="52"/>
      <c r="BF30" s="52"/>
      <c r="BG30" s="52"/>
    </row>
    <row r="31">
      <c r="A31" s="39">
        <v>32.0</v>
      </c>
      <c r="B31" s="40" t="s">
        <v>186</v>
      </c>
      <c r="C31" s="41">
        <f t="shared" si="3"/>
        <v>949681257</v>
      </c>
      <c r="D31" s="42">
        <f t="shared" si="4"/>
        <v>5701424</v>
      </c>
      <c r="E31" s="43">
        <f t="shared" si="5"/>
        <v>166.5691338</v>
      </c>
      <c r="F31" s="41">
        <f t="shared" si="6"/>
        <v>898482459</v>
      </c>
      <c r="G31" s="42">
        <f t="shared" si="7"/>
        <v>23683425</v>
      </c>
      <c r="H31" s="43">
        <f t="shared" si="8"/>
        <v>37.9371843</v>
      </c>
      <c r="I31" s="44">
        <f t="shared" si="9"/>
        <v>1513569397</v>
      </c>
      <c r="J31" s="45">
        <f t="shared" si="10"/>
        <v>40526923</v>
      </c>
      <c r="K31" s="46">
        <f t="shared" si="11"/>
        <v>37.34725671</v>
      </c>
      <c r="L31" s="44">
        <f t="shared" si="12"/>
        <v>876741516</v>
      </c>
      <c r="M31" s="45">
        <f t="shared" si="13"/>
        <v>2240867</v>
      </c>
      <c r="N31" s="46">
        <f t="shared" si="14"/>
        <v>391.2510274</v>
      </c>
      <c r="O31" s="44">
        <f t="shared" si="15"/>
        <v>1124970593</v>
      </c>
      <c r="P31" s="45">
        <f t="shared" si="16"/>
        <v>11701068</v>
      </c>
      <c r="Q31" s="46">
        <f t="shared" si="17"/>
        <v>96.14255665</v>
      </c>
      <c r="R31" s="44">
        <f t="shared" si="18"/>
        <v>1683902596</v>
      </c>
      <c r="S31" s="45">
        <f t="shared" si="19"/>
        <v>41989417</v>
      </c>
      <c r="T31" s="46">
        <f t="shared" si="20"/>
        <v>40.10302396</v>
      </c>
      <c r="U31" s="44">
        <f t="shared" si="21"/>
        <v>1620883206</v>
      </c>
      <c r="V31" s="45">
        <f t="shared" si="22"/>
        <v>12703675</v>
      </c>
      <c r="W31" s="46">
        <f t="shared" si="23"/>
        <v>127.5916777</v>
      </c>
      <c r="X31" s="44">
        <f t="shared" si="24"/>
        <v>1116643191</v>
      </c>
      <c r="Y31" s="45">
        <f t="shared" si="25"/>
        <v>45151213</v>
      </c>
      <c r="Z31" s="46">
        <f t="shared" si="26"/>
        <v>24.73118919</v>
      </c>
      <c r="AA31" s="44">
        <f t="shared" si="27"/>
        <v>1982309269</v>
      </c>
      <c r="AB31" s="45">
        <f t="shared" si="28"/>
        <v>20414944</v>
      </c>
      <c r="AC31" s="46">
        <f t="shared" si="29"/>
        <v>97.10089183</v>
      </c>
      <c r="AD31" s="44">
        <f t="shared" si="30"/>
        <v>1766972483</v>
      </c>
      <c r="AE31" s="45">
        <f t="shared" si="31"/>
        <v>36027675</v>
      </c>
      <c r="AF31" s="46">
        <f t="shared" si="32"/>
        <v>49.04486573</v>
      </c>
      <c r="AG31" s="44">
        <f t="shared" si="33"/>
        <v>1601672789</v>
      </c>
      <c r="AH31" s="45">
        <f t="shared" si="34"/>
        <v>42112381</v>
      </c>
      <c r="AI31" s="46">
        <f t="shared" si="35"/>
        <v>38.03329926</v>
      </c>
      <c r="AJ31" s="44">
        <f t="shared" si="36"/>
        <v>1205601288</v>
      </c>
      <c r="AK31" s="45">
        <f t="shared" si="37"/>
        <v>21118960</v>
      </c>
      <c r="AL31" s="46">
        <f t="shared" si="38"/>
        <v>57.08620538</v>
      </c>
      <c r="AM31" s="44">
        <f t="shared" si="39"/>
        <v>1043106237</v>
      </c>
      <c r="AN31" s="45">
        <f t="shared" si="40"/>
        <v>4819095</v>
      </c>
      <c r="AO31" s="46">
        <f t="shared" si="41"/>
        <v>216.4527234</v>
      </c>
      <c r="AP31" s="44">
        <f t="shared" si="42"/>
        <v>475471693</v>
      </c>
      <c r="AQ31" s="45">
        <f t="shared" si="43"/>
        <v>37694700</v>
      </c>
      <c r="AR31" s="46">
        <f t="shared" si="44"/>
        <v>12.61375453</v>
      </c>
      <c r="AS31" s="47">
        <f t="shared" si="45"/>
        <v>17860007974</v>
      </c>
      <c r="AT31" s="48">
        <f t="shared" si="46"/>
        <v>1124971498</v>
      </c>
      <c r="AU31" s="47">
        <f t="shared" si="47"/>
        <v>1275714856</v>
      </c>
      <c r="AV31" s="49">
        <f t="shared" si="48"/>
        <v>86536269.05</v>
      </c>
      <c r="AW31" s="47">
        <f t="shared" ref="AW31:AY31" si="103">MIN(C31,F31,I31,L31,O31,R31,U31,X31,AA31,AD31,AG31,AJ31,AM31,AP31)</f>
        <v>475471693</v>
      </c>
      <c r="AX31" s="50">
        <f t="shared" si="103"/>
        <v>2240867</v>
      </c>
      <c r="AY31" s="51">
        <f t="shared" si="103"/>
        <v>12.61375453</v>
      </c>
      <c r="AZ31" s="47">
        <f t="shared" ref="AZ31:BB31" si="104">MAX(C31,F31,I31,L31,O31,R31,U31,X31,AA31,AD31,AG31,AJ31,AM31,AP31)</f>
        <v>1982309269</v>
      </c>
      <c r="BA31" s="50">
        <f t="shared" si="104"/>
        <v>45151213</v>
      </c>
      <c r="BB31" s="48">
        <f t="shared" si="104"/>
        <v>391.2510274</v>
      </c>
      <c r="BC31" s="52"/>
      <c r="BD31" s="52"/>
      <c r="BE31" s="52"/>
      <c r="BF31" s="52"/>
      <c r="BG31" s="52"/>
    </row>
    <row r="32">
      <c r="A32" s="39">
        <v>33.0</v>
      </c>
      <c r="B32" s="40" t="s">
        <v>187</v>
      </c>
      <c r="C32" s="41">
        <f t="shared" si="3"/>
        <v>958955905</v>
      </c>
      <c r="D32" s="42">
        <f t="shared" si="4"/>
        <v>5044332</v>
      </c>
      <c r="E32" s="43">
        <f t="shared" si="5"/>
        <v>190.1056285</v>
      </c>
      <c r="F32" s="41">
        <f t="shared" si="6"/>
        <v>1987189980</v>
      </c>
      <c r="G32" s="42">
        <f t="shared" si="7"/>
        <v>18036347</v>
      </c>
      <c r="H32" s="43">
        <f t="shared" si="8"/>
        <v>110.1769654</v>
      </c>
      <c r="I32" s="44">
        <f t="shared" si="9"/>
        <v>1467176746</v>
      </c>
      <c r="J32" s="45">
        <f t="shared" si="10"/>
        <v>44623079</v>
      </c>
      <c r="K32" s="46">
        <f t="shared" si="11"/>
        <v>32.87932565</v>
      </c>
      <c r="L32" s="44">
        <f t="shared" si="12"/>
        <v>932505326</v>
      </c>
      <c r="M32" s="45">
        <f t="shared" si="13"/>
        <v>4986588</v>
      </c>
      <c r="N32" s="46">
        <f t="shared" si="14"/>
        <v>187.0026812</v>
      </c>
      <c r="O32" s="44">
        <f t="shared" si="15"/>
        <v>431433517</v>
      </c>
      <c r="P32" s="45">
        <f t="shared" si="16"/>
        <v>15131655</v>
      </c>
      <c r="Q32" s="46">
        <f t="shared" si="17"/>
        <v>28.51198478</v>
      </c>
      <c r="R32" s="44">
        <f t="shared" si="18"/>
        <v>1148992190</v>
      </c>
      <c r="S32" s="45">
        <f t="shared" si="19"/>
        <v>38058652</v>
      </c>
      <c r="T32" s="46">
        <f t="shared" si="20"/>
        <v>30.19003905</v>
      </c>
      <c r="U32" s="44">
        <f t="shared" si="21"/>
        <v>1497181646</v>
      </c>
      <c r="V32" s="45">
        <f t="shared" si="22"/>
        <v>18666521</v>
      </c>
      <c r="W32" s="46">
        <f t="shared" si="23"/>
        <v>80.20678551</v>
      </c>
      <c r="X32" s="44">
        <f t="shared" si="24"/>
        <v>1371893245</v>
      </c>
      <c r="Y32" s="45">
        <f t="shared" si="25"/>
        <v>34137325</v>
      </c>
      <c r="Z32" s="46">
        <f t="shared" si="26"/>
        <v>40.18748525</v>
      </c>
      <c r="AA32" s="44">
        <f t="shared" si="27"/>
        <v>138327054</v>
      </c>
      <c r="AB32" s="45">
        <f t="shared" si="28"/>
        <v>27942941</v>
      </c>
      <c r="AC32" s="46">
        <f t="shared" si="29"/>
        <v>4.950339837</v>
      </c>
      <c r="AD32" s="44">
        <f t="shared" si="30"/>
        <v>391514801</v>
      </c>
      <c r="AE32" s="45">
        <f t="shared" si="31"/>
        <v>9966195</v>
      </c>
      <c r="AF32" s="46">
        <f t="shared" si="32"/>
        <v>39.28428061</v>
      </c>
      <c r="AG32" s="44">
        <f t="shared" si="33"/>
        <v>1201744530</v>
      </c>
      <c r="AH32" s="45">
        <f t="shared" si="34"/>
        <v>46563732</v>
      </c>
      <c r="AI32" s="46">
        <f t="shared" si="35"/>
        <v>25.80859563</v>
      </c>
      <c r="AJ32" s="44">
        <f t="shared" si="36"/>
        <v>1609102472</v>
      </c>
      <c r="AK32" s="45">
        <f t="shared" si="37"/>
        <v>15939746</v>
      </c>
      <c r="AL32" s="46">
        <f t="shared" si="38"/>
        <v>100.9490661</v>
      </c>
      <c r="AM32" s="44">
        <f t="shared" si="39"/>
        <v>946144457</v>
      </c>
      <c r="AN32" s="45">
        <f t="shared" si="40"/>
        <v>27625135</v>
      </c>
      <c r="AO32" s="46">
        <f t="shared" si="41"/>
        <v>34.24940573</v>
      </c>
      <c r="AP32" s="44">
        <f t="shared" si="42"/>
        <v>168272643</v>
      </c>
      <c r="AQ32" s="45">
        <f t="shared" si="43"/>
        <v>42545524</v>
      </c>
      <c r="AR32" s="46">
        <f t="shared" si="44"/>
        <v>3.955119768</v>
      </c>
      <c r="AS32" s="47">
        <f t="shared" si="45"/>
        <v>14250434512</v>
      </c>
      <c r="AT32" s="48">
        <f t="shared" si="46"/>
        <v>431434209.9</v>
      </c>
      <c r="AU32" s="47">
        <f t="shared" si="47"/>
        <v>1017888180</v>
      </c>
      <c r="AV32" s="49">
        <f t="shared" si="48"/>
        <v>33187246.92</v>
      </c>
      <c r="AW32" s="47">
        <f t="shared" ref="AW32:AY32" si="105">MIN(C32,F32,I32,L32,O32,R32,U32,X32,AA32,AD32,AG32,AJ32,AM32,AP32)</f>
        <v>138327054</v>
      </c>
      <c r="AX32" s="50">
        <f t="shared" si="105"/>
        <v>4986588</v>
      </c>
      <c r="AY32" s="51">
        <f t="shared" si="105"/>
        <v>3.955119768</v>
      </c>
      <c r="AZ32" s="47">
        <f t="shared" ref="AZ32:BB32" si="106">MAX(C32,F32,I32,L32,O32,R32,U32,X32,AA32,AD32,AG32,AJ32,AM32,AP32)</f>
        <v>1987189980</v>
      </c>
      <c r="BA32" s="50">
        <f t="shared" si="106"/>
        <v>46563732</v>
      </c>
      <c r="BB32" s="48">
        <f t="shared" si="106"/>
        <v>190.1056285</v>
      </c>
      <c r="BC32" s="52"/>
      <c r="BD32" s="52"/>
      <c r="BE32" s="52"/>
      <c r="BF32" s="52"/>
      <c r="BG32" s="52"/>
    </row>
    <row r="33">
      <c r="A33" s="39">
        <v>34.0</v>
      </c>
      <c r="B33" s="40" t="s">
        <v>188</v>
      </c>
      <c r="C33" s="41">
        <f t="shared" si="3"/>
        <v>53606095</v>
      </c>
      <c r="D33" s="42">
        <f t="shared" si="4"/>
        <v>31167415</v>
      </c>
      <c r="E33" s="43">
        <f t="shared" si="5"/>
        <v>1.719940361</v>
      </c>
      <c r="F33" s="41">
        <f t="shared" si="6"/>
        <v>576689695</v>
      </c>
      <c r="G33" s="42">
        <f t="shared" si="7"/>
        <v>40220564</v>
      </c>
      <c r="H33" s="43">
        <f t="shared" si="8"/>
        <v>14.33818022</v>
      </c>
      <c r="I33" s="44">
        <f t="shared" si="9"/>
        <v>1554891244</v>
      </c>
      <c r="J33" s="45">
        <f t="shared" si="10"/>
        <v>18147242</v>
      </c>
      <c r="K33" s="46">
        <f t="shared" si="11"/>
        <v>85.68195894</v>
      </c>
      <c r="L33" s="44">
        <f t="shared" si="12"/>
        <v>1286947967</v>
      </c>
      <c r="M33" s="45">
        <f t="shared" si="13"/>
        <v>21346951</v>
      </c>
      <c r="N33" s="46">
        <f t="shared" si="14"/>
        <v>60.28720294</v>
      </c>
      <c r="O33" s="44">
        <f t="shared" si="15"/>
        <v>462159795</v>
      </c>
      <c r="P33" s="45">
        <f t="shared" si="16"/>
        <v>26326923</v>
      </c>
      <c r="Q33" s="46">
        <f t="shared" si="17"/>
        <v>17.5546453</v>
      </c>
      <c r="R33" s="44">
        <f t="shared" si="18"/>
        <v>752250630</v>
      </c>
      <c r="S33" s="45">
        <f t="shared" si="19"/>
        <v>44342755</v>
      </c>
      <c r="T33" s="46">
        <f t="shared" si="20"/>
        <v>16.96445406</v>
      </c>
      <c r="U33" s="44">
        <f t="shared" si="21"/>
        <v>1305577712</v>
      </c>
      <c r="V33" s="45">
        <f t="shared" si="22"/>
        <v>13707777</v>
      </c>
      <c r="W33" s="46">
        <f t="shared" si="23"/>
        <v>95.24357684</v>
      </c>
      <c r="X33" s="44">
        <f t="shared" si="24"/>
        <v>2421326</v>
      </c>
      <c r="Y33" s="45">
        <f t="shared" si="25"/>
        <v>33994173</v>
      </c>
      <c r="Z33" s="46">
        <f t="shared" si="26"/>
        <v>0.07122767776</v>
      </c>
      <c r="AA33" s="44">
        <f t="shared" si="27"/>
        <v>588304276</v>
      </c>
      <c r="AB33" s="45">
        <f t="shared" si="28"/>
        <v>42186282</v>
      </c>
      <c r="AC33" s="46">
        <f t="shared" si="29"/>
        <v>13.94539286</v>
      </c>
      <c r="AD33" s="44">
        <f t="shared" si="30"/>
        <v>901938585</v>
      </c>
      <c r="AE33" s="45">
        <f t="shared" si="31"/>
        <v>22299319</v>
      </c>
      <c r="AF33" s="46">
        <f t="shared" si="32"/>
        <v>40.44691163</v>
      </c>
      <c r="AG33" s="44">
        <f t="shared" si="33"/>
        <v>1802740105</v>
      </c>
      <c r="AH33" s="45">
        <f t="shared" si="34"/>
        <v>12698534</v>
      </c>
      <c r="AI33" s="46">
        <f t="shared" si="35"/>
        <v>141.9644272</v>
      </c>
      <c r="AJ33" s="44">
        <f t="shared" si="36"/>
        <v>433407833</v>
      </c>
      <c r="AK33" s="45">
        <f t="shared" si="37"/>
        <v>3325813</v>
      </c>
      <c r="AL33" s="46">
        <f t="shared" si="38"/>
        <v>130.3163566</v>
      </c>
      <c r="AM33" s="44">
        <f t="shared" si="39"/>
        <v>1885597200</v>
      </c>
      <c r="AN33" s="45">
        <f t="shared" si="40"/>
        <v>12822684</v>
      </c>
      <c r="AO33" s="46">
        <f t="shared" si="41"/>
        <v>147.0516781</v>
      </c>
      <c r="AP33" s="44">
        <f t="shared" si="42"/>
        <v>837244772</v>
      </c>
      <c r="AQ33" s="45">
        <f t="shared" si="43"/>
        <v>8518126</v>
      </c>
      <c r="AR33" s="46">
        <f t="shared" si="44"/>
        <v>98.28978487</v>
      </c>
      <c r="AS33" s="47">
        <f t="shared" si="45"/>
        <v>12443777235</v>
      </c>
      <c r="AT33" s="48">
        <f t="shared" si="46"/>
        <v>462160581</v>
      </c>
      <c r="AU33" s="47">
        <f t="shared" si="47"/>
        <v>888841232</v>
      </c>
      <c r="AV33" s="49">
        <f t="shared" si="48"/>
        <v>35550813.93</v>
      </c>
      <c r="AW33" s="47">
        <f t="shared" ref="AW33:AY33" si="107">MIN(C33,F33,I33,L33,O33,R33,U33,X33,AA33,AD33,AG33,AJ33,AM33,AP33)</f>
        <v>2421326</v>
      </c>
      <c r="AX33" s="50">
        <f t="shared" si="107"/>
        <v>3325813</v>
      </c>
      <c r="AY33" s="51">
        <f t="shared" si="107"/>
        <v>0.07122767776</v>
      </c>
      <c r="AZ33" s="47">
        <f t="shared" ref="AZ33:BB33" si="108">MAX(C33,F33,I33,L33,O33,R33,U33,X33,AA33,AD33,AG33,AJ33,AM33,AP33)</f>
        <v>1885597200</v>
      </c>
      <c r="BA33" s="50">
        <f t="shared" si="108"/>
        <v>44342755</v>
      </c>
      <c r="BB33" s="48">
        <f t="shared" si="108"/>
        <v>147.0516781</v>
      </c>
      <c r="BC33" s="52"/>
      <c r="BD33" s="52"/>
      <c r="BE33" s="52"/>
      <c r="BF33" s="52"/>
      <c r="BG33" s="52"/>
    </row>
    <row r="34">
      <c r="A34" s="39">
        <v>35.0</v>
      </c>
      <c r="B34" s="40" t="s">
        <v>189</v>
      </c>
      <c r="C34" s="41">
        <f t="shared" si="3"/>
        <v>472456388</v>
      </c>
      <c r="D34" s="42">
        <f t="shared" si="4"/>
        <v>37799490</v>
      </c>
      <c r="E34" s="43">
        <f t="shared" si="5"/>
        <v>12.49901488</v>
      </c>
      <c r="F34" s="41">
        <f t="shared" si="6"/>
        <v>342121667</v>
      </c>
      <c r="G34" s="42">
        <f t="shared" si="7"/>
        <v>20562497</v>
      </c>
      <c r="H34" s="43">
        <f t="shared" si="8"/>
        <v>16.63813821</v>
      </c>
      <c r="I34" s="44">
        <f t="shared" si="9"/>
        <v>829773835</v>
      </c>
      <c r="J34" s="45">
        <f t="shared" si="10"/>
        <v>16601623</v>
      </c>
      <c r="K34" s="46">
        <f t="shared" si="11"/>
        <v>49.98148886</v>
      </c>
      <c r="L34" s="44">
        <f t="shared" si="12"/>
        <v>1067144480</v>
      </c>
      <c r="M34" s="45">
        <f t="shared" si="13"/>
        <v>4369395</v>
      </c>
      <c r="N34" s="46">
        <f t="shared" si="14"/>
        <v>244.2316339</v>
      </c>
      <c r="O34" s="44">
        <f t="shared" si="15"/>
        <v>1261582979</v>
      </c>
      <c r="P34" s="45">
        <f t="shared" si="16"/>
        <v>47750248</v>
      </c>
      <c r="Q34" s="46">
        <f t="shared" si="17"/>
        <v>26.42044873</v>
      </c>
      <c r="R34" s="44">
        <f t="shared" si="18"/>
        <v>1784326316</v>
      </c>
      <c r="S34" s="45">
        <f t="shared" si="19"/>
        <v>37985936</v>
      </c>
      <c r="T34" s="46">
        <f t="shared" si="20"/>
        <v>46.97334076</v>
      </c>
      <c r="U34" s="44">
        <f t="shared" si="21"/>
        <v>952925579</v>
      </c>
      <c r="V34" s="45">
        <f t="shared" si="22"/>
        <v>29420927</v>
      </c>
      <c r="W34" s="46">
        <f t="shared" si="23"/>
        <v>32.38937981</v>
      </c>
      <c r="X34" s="44">
        <f t="shared" si="24"/>
        <v>1030476092</v>
      </c>
      <c r="Y34" s="45">
        <f t="shared" si="25"/>
        <v>9037599</v>
      </c>
      <c r="Z34" s="46">
        <f t="shared" si="26"/>
        <v>114.0210018</v>
      </c>
      <c r="AA34" s="44">
        <f t="shared" si="27"/>
        <v>112223823</v>
      </c>
      <c r="AB34" s="45">
        <f t="shared" si="28"/>
        <v>21235231</v>
      </c>
      <c r="AC34" s="46">
        <f t="shared" si="29"/>
        <v>5.284794076</v>
      </c>
      <c r="AD34" s="44">
        <f t="shared" si="30"/>
        <v>1130766801</v>
      </c>
      <c r="AE34" s="45">
        <f t="shared" si="31"/>
        <v>33203701</v>
      </c>
      <c r="AF34" s="46">
        <f t="shared" si="32"/>
        <v>34.05544463</v>
      </c>
      <c r="AG34" s="44">
        <f t="shared" si="33"/>
        <v>147326646</v>
      </c>
      <c r="AH34" s="45">
        <f t="shared" si="34"/>
        <v>25651387</v>
      </c>
      <c r="AI34" s="46">
        <f t="shared" si="35"/>
        <v>5.743418319</v>
      </c>
      <c r="AJ34" s="44">
        <f t="shared" si="36"/>
        <v>1527573151</v>
      </c>
      <c r="AK34" s="45">
        <f t="shared" si="37"/>
        <v>36118549</v>
      </c>
      <c r="AL34" s="46">
        <f t="shared" si="38"/>
        <v>42.29331447</v>
      </c>
      <c r="AM34" s="44">
        <f t="shared" si="39"/>
        <v>301633203</v>
      </c>
      <c r="AN34" s="45">
        <f t="shared" si="40"/>
        <v>24897476</v>
      </c>
      <c r="AO34" s="46">
        <f t="shared" si="41"/>
        <v>12.1150113</v>
      </c>
      <c r="AP34" s="44">
        <f t="shared" si="42"/>
        <v>910846999</v>
      </c>
      <c r="AQ34" s="45">
        <f t="shared" si="43"/>
        <v>9896886</v>
      </c>
      <c r="AR34" s="46">
        <f t="shared" si="44"/>
        <v>92.03369615</v>
      </c>
      <c r="AS34" s="47">
        <f t="shared" si="45"/>
        <v>11871177959</v>
      </c>
      <c r="AT34" s="48">
        <f t="shared" si="46"/>
        <v>1261583443</v>
      </c>
      <c r="AU34" s="47">
        <f t="shared" si="47"/>
        <v>847941283</v>
      </c>
      <c r="AV34" s="49">
        <f t="shared" si="48"/>
        <v>97044880.23</v>
      </c>
      <c r="AW34" s="47">
        <f t="shared" ref="AW34:AY34" si="109">MIN(C34,F34,I34,L34,O34,R34,U34,X34,AA34,AD34,AG34,AJ34,AM34,AP34)</f>
        <v>112223823</v>
      </c>
      <c r="AX34" s="50">
        <f t="shared" si="109"/>
        <v>4369395</v>
      </c>
      <c r="AY34" s="51">
        <f t="shared" si="109"/>
        <v>5.284794076</v>
      </c>
      <c r="AZ34" s="47">
        <f t="shared" ref="AZ34:BB34" si="110">MAX(C34,F34,I34,L34,O34,R34,U34,X34,AA34,AD34,AG34,AJ34,AM34,AP34)</f>
        <v>1784326316</v>
      </c>
      <c r="BA34" s="50">
        <f t="shared" si="110"/>
        <v>47750248</v>
      </c>
      <c r="BB34" s="48">
        <f t="shared" si="110"/>
        <v>244.2316339</v>
      </c>
      <c r="BC34" s="52"/>
      <c r="BD34" s="52"/>
      <c r="BE34" s="52"/>
      <c r="BF34" s="52"/>
      <c r="BG34" s="52"/>
    </row>
    <row r="35">
      <c r="A35" s="39">
        <v>36.0</v>
      </c>
      <c r="B35" s="40" t="s">
        <v>190</v>
      </c>
      <c r="C35" s="41">
        <f t="shared" si="3"/>
        <v>1944281243</v>
      </c>
      <c r="D35" s="42">
        <f t="shared" si="4"/>
        <v>14959348</v>
      </c>
      <c r="E35" s="43">
        <f t="shared" si="5"/>
        <v>129.9709882</v>
      </c>
      <c r="F35" s="41">
        <f t="shared" si="6"/>
        <v>521810831</v>
      </c>
      <c r="G35" s="42">
        <f t="shared" si="7"/>
        <v>15018571</v>
      </c>
      <c r="H35" s="43">
        <f t="shared" si="8"/>
        <v>34.74437288</v>
      </c>
      <c r="I35" s="44">
        <f t="shared" si="9"/>
        <v>891980153</v>
      </c>
      <c r="J35" s="45">
        <f t="shared" si="10"/>
        <v>49653323</v>
      </c>
      <c r="K35" s="46">
        <f t="shared" si="11"/>
        <v>17.96415827</v>
      </c>
      <c r="L35" s="44">
        <f t="shared" si="12"/>
        <v>1945828994</v>
      </c>
      <c r="M35" s="45">
        <f t="shared" si="13"/>
        <v>20487820</v>
      </c>
      <c r="N35" s="46">
        <f t="shared" si="14"/>
        <v>94.97491651</v>
      </c>
      <c r="O35" s="44">
        <f t="shared" si="15"/>
        <v>234423644</v>
      </c>
      <c r="P35" s="45">
        <f t="shared" si="16"/>
        <v>9363095</v>
      </c>
      <c r="Q35" s="46">
        <f t="shared" si="17"/>
        <v>25.03698232</v>
      </c>
      <c r="R35" s="44">
        <f t="shared" si="18"/>
        <v>828515630</v>
      </c>
      <c r="S35" s="45">
        <f t="shared" si="19"/>
        <v>27721392</v>
      </c>
      <c r="T35" s="46">
        <f t="shared" si="20"/>
        <v>29.88723041</v>
      </c>
      <c r="U35" s="44">
        <f t="shared" si="21"/>
        <v>544196597</v>
      </c>
      <c r="V35" s="45">
        <f t="shared" si="22"/>
        <v>35657041</v>
      </c>
      <c r="W35" s="46">
        <f t="shared" si="23"/>
        <v>15.26196739</v>
      </c>
      <c r="X35" s="44">
        <f t="shared" si="24"/>
        <v>387277786</v>
      </c>
      <c r="Y35" s="45">
        <f t="shared" si="25"/>
        <v>37819164</v>
      </c>
      <c r="Z35" s="46">
        <f t="shared" si="26"/>
        <v>10.24025243</v>
      </c>
      <c r="AA35" s="44">
        <f t="shared" si="27"/>
        <v>292793031</v>
      </c>
      <c r="AB35" s="45">
        <f t="shared" si="28"/>
        <v>26448498</v>
      </c>
      <c r="AC35" s="46">
        <f t="shared" si="29"/>
        <v>11.07030845</v>
      </c>
      <c r="AD35" s="44">
        <f t="shared" si="30"/>
        <v>357766952</v>
      </c>
      <c r="AE35" s="45">
        <f t="shared" si="31"/>
        <v>22313580</v>
      </c>
      <c r="AF35" s="46">
        <f t="shared" si="32"/>
        <v>16.03359712</v>
      </c>
      <c r="AG35" s="44">
        <f t="shared" si="33"/>
        <v>1888719567</v>
      </c>
      <c r="AH35" s="45">
        <f t="shared" si="34"/>
        <v>41036959</v>
      </c>
      <c r="AI35" s="46">
        <f t="shared" si="35"/>
        <v>46.02484231</v>
      </c>
      <c r="AJ35" s="44">
        <f t="shared" si="36"/>
        <v>1220059105</v>
      </c>
      <c r="AK35" s="45">
        <f t="shared" si="37"/>
        <v>44704673</v>
      </c>
      <c r="AL35" s="46">
        <f t="shared" si="38"/>
        <v>27.29153404</v>
      </c>
      <c r="AM35" s="44">
        <f t="shared" si="39"/>
        <v>1821565546</v>
      </c>
      <c r="AN35" s="45">
        <f t="shared" si="40"/>
        <v>37994436</v>
      </c>
      <c r="AO35" s="46">
        <f t="shared" si="41"/>
        <v>47.94295528</v>
      </c>
      <c r="AP35" s="44">
        <f t="shared" si="42"/>
        <v>524851109</v>
      </c>
      <c r="AQ35" s="45">
        <f t="shared" si="43"/>
        <v>4680890</v>
      </c>
      <c r="AR35" s="46">
        <f t="shared" si="44"/>
        <v>112.1263497</v>
      </c>
      <c r="AS35" s="47">
        <f t="shared" si="45"/>
        <v>13404070188</v>
      </c>
      <c r="AT35" s="48">
        <f t="shared" si="46"/>
        <v>234424142.6</v>
      </c>
      <c r="AU35" s="47">
        <f t="shared" si="47"/>
        <v>957433585</v>
      </c>
      <c r="AV35" s="49">
        <f t="shared" si="48"/>
        <v>18032626.35</v>
      </c>
      <c r="AW35" s="47">
        <f t="shared" ref="AW35:AY35" si="111">MIN(C35,F35,I35,L35,O35,R35,U35,X35,AA35,AD35,AG35,AJ35,AM35,AP35)</f>
        <v>234423644</v>
      </c>
      <c r="AX35" s="50">
        <f t="shared" si="111"/>
        <v>4680890</v>
      </c>
      <c r="AY35" s="51">
        <f t="shared" si="111"/>
        <v>10.24025243</v>
      </c>
      <c r="AZ35" s="47">
        <f t="shared" ref="AZ35:BB35" si="112">MAX(C35,F35,I35,L35,O35,R35,U35,X35,AA35,AD35,AG35,AJ35,AM35,AP35)</f>
        <v>1945828994</v>
      </c>
      <c r="BA35" s="50">
        <f t="shared" si="112"/>
        <v>49653323</v>
      </c>
      <c r="BB35" s="48">
        <f t="shared" si="112"/>
        <v>129.9709882</v>
      </c>
      <c r="BC35" s="52"/>
      <c r="BD35" s="52"/>
      <c r="BE35" s="52"/>
      <c r="BF35" s="52"/>
      <c r="BG35" s="52"/>
    </row>
    <row r="36">
      <c r="A36" s="39">
        <v>37.0</v>
      </c>
      <c r="B36" s="40" t="s">
        <v>191</v>
      </c>
      <c r="C36" s="41">
        <f t="shared" si="3"/>
        <v>1457576655</v>
      </c>
      <c r="D36" s="42">
        <f t="shared" si="4"/>
        <v>37011422</v>
      </c>
      <c r="E36" s="43">
        <f t="shared" si="5"/>
        <v>39.38180638</v>
      </c>
      <c r="F36" s="41">
        <f t="shared" si="6"/>
        <v>1794349831</v>
      </c>
      <c r="G36" s="42">
        <f t="shared" si="7"/>
        <v>9009513</v>
      </c>
      <c r="H36" s="43">
        <f t="shared" si="8"/>
        <v>199.1616895</v>
      </c>
      <c r="I36" s="44">
        <f t="shared" si="9"/>
        <v>969626744</v>
      </c>
      <c r="J36" s="45">
        <f t="shared" si="10"/>
        <v>16460007</v>
      </c>
      <c r="K36" s="46">
        <f t="shared" si="11"/>
        <v>58.90803959</v>
      </c>
      <c r="L36" s="44">
        <f t="shared" si="12"/>
        <v>1962670610</v>
      </c>
      <c r="M36" s="45">
        <f t="shared" si="13"/>
        <v>21272001</v>
      </c>
      <c r="N36" s="46">
        <f t="shared" si="14"/>
        <v>92.26544367</v>
      </c>
      <c r="O36" s="44">
        <f t="shared" si="15"/>
        <v>1632948298</v>
      </c>
      <c r="P36" s="45">
        <f t="shared" si="16"/>
        <v>46940553</v>
      </c>
      <c r="Q36" s="46">
        <f t="shared" si="17"/>
        <v>34.78758118</v>
      </c>
      <c r="R36" s="44">
        <f t="shared" si="18"/>
        <v>925919441</v>
      </c>
      <c r="S36" s="45">
        <f t="shared" si="19"/>
        <v>18525528</v>
      </c>
      <c r="T36" s="46">
        <f t="shared" si="20"/>
        <v>49.98073151</v>
      </c>
      <c r="U36" s="44">
        <f t="shared" si="21"/>
        <v>395753247</v>
      </c>
      <c r="V36" s="45">
        <f t="shared" si="22"/>
        <v>8001287</v>
      </c>
      <c r="W36" s="46">
        <f t="shared" si="23"/>
        <v>49.4611988</v>
      </c>
      <c r="X36" s="44">
        <f t="shared" si="24"/>
        <v>566071280</v>
      </c>
      <c r="Y36" s="45">
        <f t="shared" si="25"/>
        <v>39474842</v>
      </c>
      <c r="Z36" s="46">
        <f t="shared" si="26"/>
        <v>14.34005182</v>
      </c>
      <c r="AA36" s="44">
        <f t="shared" si="27"/>
        <v>732919783</v>
      </c>
      <c r="AB36" s="45">
        <f t="shared" si="28"/>
        <v>26041616</v>
      </c>
      <c r="AC36" s="46">
        <f t="shared" si="29"/>
        <v>28.14417442</v>
      </c>
      <c r="AD36" s="44">
        <f t="shared" si="30"/>
        <v>1257269509</v>
      </c>
      <c r="AE36" s="45">
        <f t="shared" si="31"/>
        <v>37135644</v>
      </c>
      <c r="AF36" s="46">
        <f t="shared" si="32"/>
        <v>33.85613857</v>
      </c>
      <c r="AG36" s="44">
        <f t="shared" si="33"/>
        <v>66557912</v>
      </c>
      <c r="AH36" s="45">
        <f t="shared" si="34"/>
        <v>19561788</v>
      </c>
      <c r="AI36" s="46">
        <f t="shared" si="35"/>
        <v>3.402445216</v>
      </c>
      <c r="AJ36" s="44">
        <f t="shared" si="36"/>
        <v>511523947</v>
      </c>
      <c r="AK36" s="45">
        <f t="shared" si="37"/>
        <v>48101089</v>
      </c>
      <c r="AL36" s="46">
        <f t="shared" si="38"/>
        <v>10.63435273</v>
      </c>
      <c r="AM36" s="44">
        <f t="shared" si="39"/>
        <v>1587478344</v>
      </c>
      <c r="AN36" s="45">
        <f t="shared" si="40"/>
        <v>25739837</v>
      </c>
      <c r="AO36" s="46">
        <f t="shared" si="41"/>
        <v>61.67398589</v>
      </c>
      <c r="AP36" s="44">
        <f t="shared" si="42"/>
        <v>166090799</v>
      </c>
      <c r="AQ36" s="45">
        <f t="shared" si="43"/>
        <v>5474378</v>
      </c>
      <c r="AR36" s="46">
        <f t="shared" si="44"/>
        <v>30.3396658</v>
      </c>
      <c r="AS36" s="47">
        <f t="shared" si="45"/>
        <v>14026756400</v>
      </c>
      <c r="AT36" s="48">
        <f t="shared" si="46"/>
        <v>1632948877</v>
      </c>
      <c r="AU36" s="47">
        <f t="shared" si="47"/>
        <v>1001911172</v>
      </c>
      <c r="AV36" s="49">
        <f t="shared" si="48"/>
        <v>125611452.1</v>
      </c>
      <c r="AW36" s="47">
        <f t="shared" ref="AW36:AY36" si="113">MIN(C36,F36,I36,L36,O36,R36,U36,X36,AA36,AD36,AG36,AJ36,AM36,AP36)</f>
        <v>66557912</v>
      </c>
      <c r="AX36" s="50">
        <f t="shared" si="113"/>
        <v>5474378</v>
      </c>
      <c r="AY36" s="51">
        <f t="shared" si="113"/>
        <v>3.402445216</v>
      </c>
      <c r="AZ36" s="47">
        <f t="shared" ref="AZ36:BB36" si="114">MAX(C36,F36,I36,L36,O36,R36,U36,X36,AA36,AD36,AG36,AJ36,AM36,AP36)</f>
        <v>1962670610</v>
      </c>
      <c r="BA36" s="50">
        <f t="shared" si="114"/>
        <v>48101089</v>
      </c>
      <c r="BB36" s="48">
        <f t="shared" si="114"/>
        <v>199.1616895</v>
      </c>
      <c r="BC36" s="52"/>
      <c r="BD36" s="52"/>
      <c r="BE36" s="52"/>
      <c r="BF36" s="52"/>
      <c r="BG36" s="52"/>
    </row>
    <row r="37">
      <c r="A37" s="39">
        <v>38.0</v>
      </c>
      <c r="B37" s="40" t="s">
        <v>192</v>
      </c>
      <c r="C37" s="41">
        <f t="shared" si="3"/>
        <v>129620291</v>
      </c>
      <c r="D37" s="42">
        <f t="shared" si="4"/>
        <v>36871242</v>
      </c>
      <c r="E37" s="43">
        <f t="shared" si="5"/>
        <v>3.515484805</v>
      </c>
      <c r="F37" s="41">
        <f t="shared" si="6"/>
        <v>497393817</v>
      </c>
      <c r="G37" s="42">
        <f t="shared" si="7"/>
        <v>32717188</v>
      </c>
      <c r="H37" s="43">
        <f t="shared" si="8"/>
        <v>15.20282908</v>
      </c>
      <c r="I37" s="44">
        <f t="shared" si="9"/>
        <v>1679692293</v>
      </c>
      <c r="J37" s="45">
        <f t="shared" si="10"/>
        <v>19676716</v>
      </c>
      <c r="K37" s="46">
        <f t="shared" si="11"/>
        <v>85.3644629</v>
      </c>
      <c r="L37" s="44">
        <f t="shared" si="12"/>
        <v>1528357300</v>
      </c>
      <c r="M37" s="45">
        <f t="shared" si="13"/>
        <v>42764336</v>
      </c>
      <c r="N37" s="46">
        <f t="shared" si="14"/>
        <v>35.73906304</v>
      </c>
      <c r="O37" s="44">
        <f t="shared" si="15"/>
        <v>553543065</v>
      </c>
      <c r="P37" s="45">
        <f t="shared" si="16"/>
        <v>45867701</v>
      </c>
      <c r="Q37" s="46">
        <f t="shared" si="17"/>
        <v>12.06825398</v>
      </c>
      <c r="R37" s="44">
        <f t="shared" si="18"/>
        <v>1910416392</v>
      </c>
      <c r="S37" s="45">
        <f t="shared" si="19"/>
        <v>19220192</v>
      </c>
      <c r="T37" s="46">
        <f t="shared" si="20"/>
        <v>99.39632195</v>
      </c>
      <c r="U37" s="44">
        <f t="shared" si="21"/>
        <v>435998498</v>
      </c>
      <c r="V37" s="45">
        <f t="shared" si="22"/>
        <v>33149681</v>
      </c>
      <c r="W37" s="46">
        <f t="shared" si="23"/>
        <v>13.15241911</v>
      </c>
      <c r="X37" s="44">
        <f t="shared" si="24"/>
        <v>1461411969</v>
      </c>
      <c r="Y37" s="45">
        <f t="shared" si="25"/>
        <v>36768020</v>
      </c>
      <c r="Z37" s="46">
        <f t="shared" si="26"/>
        <v>39.74682262</v>
      </c>
      <c r="AA37" s="44">
        <f t="shared" si="27"/>
        <v>1604938478</v>
      </c>
      <c r="AB37" s="45">
        <f t="shared" si="28"/>
        <v>45822543</v>
      </c>
      <c r="AC37" s="46">
        <f t="shared" si="29"/>
        <v>35.02508532</v>
      </c>
      <c r="AD37" s="44">
        <f t="shared" si="30"/>
        <v>1592393889</v>
      </c>
      <c r="AE37" s="45">
        <f t="shared" si="31"/>
        <v>27722196</v>
      </c>
      <c r="AF37" s="46">
        <f t="shared" si="32"/>
        <v>57.44111646</v>
      </c>
      <c r="AG37" s="44">
        <f t="shared" si="33"/>
        <v>1613158443</v>
      </c>
      <c r="AH37" s="45">
        <f t="shared" si="34"/>
        <v>5086549</v>
      </c>
      <c r="AI37" s="46">
        <f t="shared" si="35"/>
        <v>317.1420236</v>
      </c>
      <c r="AJ37" s="44">
        <f t="shared" si="36"/>
        <v>968773221</v>
      </c>
      <c r="AK37" s="45">
        <f t="shared" si="37"/>
        <v>25183521</v>
      </c>
      <c r="AL37" s="46">
        <f t="shared" si="38"/>
        <v>38.46853746</v>
      </c>
      <c r="AM37" s="44">
        <f t="shared" si="39"/>
        <v>378595355</v>
      </c>
      <c r="AN37" s="45">
        <f t="shared" si="40"/>
        <v>18536943</v>
      </c>
      <c r="AO37" s="46">
        <f t="shared" si="41"/>
        <v>20.42382905</v>
      </c>
      <c r="AP37" s="44">
        <f t="shared" si="42"/>
        <v>752111338</v>
      </c>
      <c r="AQ37" s="45">
        <f t="shared" si="43"/>
        <v>4342195</v>
      </c>
      <c r="AR37" s="46">
        <f t="shared" si="44"/>
        <v>173.2099406</v>
      </c>
      <c r="AS37" s="47">
        <f t="shared" si="45"/>
        <v>15106404349</v>
      </c>
      <c r="AT37" s="48">
        <f t="shared" si="46"/>
        <v>553543963.1</v>
      </c>
      <c r="AU37" s="47">
        <f t="shared" si="47"/>
        <v>1079028883</v>
      </c>
      <c r="AV37" s="49">
        <f t="shared" si="48"/>
        <v>42580304.85</v>
      </c>
      <c r="AW37" s="47">
        <f t="shared" ref="AW37:AY37" si="115">MIN(C37,F37,I37,L37,O37,R37,U37,X37,AA37,AD37,AG37,AJ37,AM37,AP37)</f>
        <v>129620291</v>
      </c>
      <c r="AX37" s="50">
        <f t="shared" si="115"/>
        <v>4342195</v>
      </c>
      <c r="AY37" s="51">
        <f t="shared" si="115"/>
        <v>3.515484805</v>
      </c>
      <c r="AZ37" s="47">
        <f t="shared" ref="AZ37:BB37" si="116">MAX(C37,F37,I37,L37,O37,R37,U37,X37,AA37,AD37,AG37,AJ37,AM37,AP37)</f>
        <v>1910416392</v>
      </c>
      <c r="BA37" s="50">
        <f t="shared" si="116"/>
        <v>45867701</v>
      </c>
      <c r="BB37" s="48">
        <f t="shared" si="116"/>
        <v>317.1420236</v>
      </c>
      <c r="BC37" s="52"/>
      <c r="BD37" s="52"/>
      <c r="BE37" s="52"/>
      <c r="BF37" s="52"/>
      <c r="BG37" s="52"/>
    </row>
    <row r="38">
      <c r="A38" s="39">
        <v>39.0</v>
      </c>
      <c r="B38" s="40" t="s">
        <v>193</v>
      </c>
      <c r="C38" s="41">
        <f t="shared" si="3"/>
        <v>139959167</v>
      </c>
      <c r="D38" s="42">
        <f t="shared" si="4"/>
        <v>16049648</v>
      </c>
      <c r="E38" s="43">
        <f t="shared" si="5"/>
        <v>8.720388572</v>
      </c>
      <c r="F38" s="41">
        <f t="shared" si="6"/>
        <v>953758604</v>
      </c>
      <c r="G38" s="42">
        <f t="shared" si="7"/>
        <v>27419172</v>
      </c>
      <c r="H38" s="43">
        <f t="shared" si="8"/>
        <v>34.78436927</v>
      </c>
      <c r="I38" s="44">
        <f t="shared" si="9"/>
        <v>1260530348</v>
      </c>
      <c r="J38" s="45">
        <f t="shared" si="10"/>
        <v>34709757</v>
      </c>
      <c r="K38" s="46">
        <f t="shared" si="11"/>
        <v>36.31631152</v>
      </c>
      <c r="L38" s="44">
        <f t="shared" si="12"/>
        <v>1277159025</v>
      </c>
      <c r="M38" s="45">
        <f t="shared" si="13"/>
        <v>45689616</v>
      </c>
      <c r="N38" s="46">
        <f t="shared" si="14"/>
        <v>27.95293848</v>
      </c>
      <c r="O38" s="44">
        <f t="shared" si="15"/>
        <v>1154462266</v>
      </c>
      <c r="P38" s="45">
        <f t="shared" si="16"/>
        <v>23457391</v>
      </c>
      <c r="Q38" s="46">
        <f t="shared" si="17"/>
        <v>49.21528852</v>
      </c>
      <c r="R38" s="44">
        <f t="shared" si="18"/>
        <v>1185412049</v>
      </c>
      <c r="S38" s="45">
        <f t="shared" si="19"/>
        <v>24921586</v>
      </c>
      <c r="T38" s="46">
        <f t="shared" si="20"/>
        <v>47.56567455</v>
      </c>
      <c r="U38" s="44">
        <f t="shared" si="21"/>
        <v>1577910130</v>
      </c>
      <c r="V38" s="45">
        <f t="shared" si="22"/>
        <v>46987275</v>
      </c>
      <c r="W38" s="46">
        <f t="shared" si="23"/>
        <v>33.58164801</v>
      </c>
      <c r="X38" s="44">
        <f t="shared" si="24"/>
        <v>1620870029</v>
      </c>
      <c r="Y38" s="45">
        <f t="shared" si="25"/>
        <v>38031918</v>
      </c>
      <c r="Z38" s="46">
        <f t="shared" si="26"/>
        <v>42.618677</v>
      </c>
      <c r="AA38" s="44">
        <f t="shared" si="27"/>
        <v>647286813</v>
      </c>
      <c r="AB38" s="45">
        <f t="shared" si="28"/>
        <v>49831576</v>
      </c>
      <c r="AC38" s="46">
        <f t="shared" si="29"/>
        <v>12.9894911</v>
      </c>
      <c r="AD38" s="44">
        <f t="shared" si="30"/>
        <v>1736405427</v>
      </c>
      <c r="AE38" s="45">
        <f t="shared" si="31"/>
        <v>33100837</v>
      </c>
      <c r="AF38" s="46">
        <f t="shared" si="32"/>
        <v>52.45805195</v>
      </c>
      <c r="AG38" s="44">
        <f t="shared" si="33"/>
        <v>1874418860</v>
      </c>
      <c r="AH38" s="45">
        <f t="shared" si="34"/>
        <v>34239511</v>
      </c>
      <c r="AI38" s="46">
        <f t="shared" si="35"/>
        <v>54.74432331</v>
      </c>
      <c r="AJ38" s="44">
        <f t="shared" si="36"/>
        <v>1740980873</v>
      </c>
      <c r="AK38" s="45">
        <f t="shared" si="37"/>
        <v>34694265</v>
      </c>
      <c r="AL38" s="46">
        <f t="shared" si="38"/>
        <v>50.180653</v>
      </c>
      <c r="AM38" s="44">
        <f t="shared" si="39"/>
        <v>1495093048</v>
      </c>
      <c r="AN38" s="45">
        <f t="shared" si="40"/>
        <v>6705327</v>
      </c>
      <c r="AO38" s="46">
        <f t="shared" si="41"/>
        <v>222.9709376</v>
      </c>
      <c r="AP38" s="44">
        <f t="shared" si="42"/>
        <v>142766748</v>
      </c>
      <c r="AQ38" s="45">
        <f t="shared" si="43"/>
        <v>9731198</v>
      </c>
      <c r="AR38" s="46">
        <f t="shared" si="44"/>
        <v>14.67103516</v>
      </c>
      <c r="AS38" s="47">
        <f t="shared" si="45"/>
        <v>16807013387</v>
      </c>
      <c r="AT38" s="48">
        <f t="shared" si="46"/>
        <v>1154462878</v>
      </c>
      <c r="AU38" s="47">
        <f t="shared" si="47"/>
        <v>1200500957</v>
      </c>
      <c r="AV38" s="49">
        <f t="shared" si="48"/>
        <v>88804836.74</v>
      </c>
      <c r="AW38" s="47">
        <f t="shared" ref="AW38:AY38" si="117">MIN(C38,F38,I38,L38,O38,R38,U38,X38,AA38,AD38,AG38,AJ38,AM38,AP38)</f>
        <v>139959167</v>
      </c>
      <c r="AX38" s="50">
        <f t="shared" si="117"/>
        <v>6705327</v>
      </c>
      <c r="AY38" s="51">
        <f t="shared" si="117"/>
        <v>8.720388572</v>
      </c>
      <c r="AZ38" s="47">
        <f t="shared" ref="AZ38:BB38" si="118">MAX(C38,F38,I38,L38,O38,R38,U38,X38,AA38,AD38,AG38,AJ38,AM38,AP38)</f>
        <v>1874418860</v>
      </c>
      <c r="BA38" s="50">
        <f t="shared" si="118"/>
        <v>49831576</v>
      </c>
      <c r="BB38" s="48">
        <f t="shared" si="118"/>
        <v>222.9709376</v>
      </c>
      <c r="BC38" s="52"/>
      <c r="BD38" s="52"/>
      <c r="BE38" s="52"/>
      <c r="BF38" s="52"/>
      <c r="BG38" s="52"/>
    </row>
    <row r="39">
      <c r="A39" s="39">
        <v>40.0</v>
      </c>
      <c r="B39" s="40" t="s">
        <v>194</v>
      </c>
      <c r="C39" s="41">
        <f t="shared" si="3"/>
        <v>1159076238</v>
      </c>
      <c r="D39" s="42">
        <f t="shared" si="4"/>
        <v>17968163</v>
      </c>
      <c r="E39" s="43">
        <f t="shared" si="5"/>
        <v>64.50721969</v>
      </c>
      <c r="F39" s="41">
        <f t="shared" si="6"/>
        <v>915931589</v>
      </c>
      <c r="G39" s="42">
        <f t="shared" si="7"/>
        <v>17953674</v>
      </c>
      <c r="H39" s="43">
        <f t="shared" si="8"/>
        <v>51.01638745</v>
      </c>
      <c r="I39" s="44">
        <f t="shared" si="9"/>
        <v>914199926</v>
      </c>
      <c r="J39" s="45">
        <f t="shared" si="10"/>
        <v>11402752</v>
      </c>
      <c r="K39" s="46">
        <f t="shared" si="11"/>
        <v>80.17362177</v>
      </c>
      <c r="L39" s="44">
        <f t="shared" si="12"/>
        <v>1239327778</v>
      </c>
      <c r="M39" s="45">
        <f t="shared" si="13"/>
        <v>49428993</v>
      </c>
      <c r="N39" s="46">
        <f t="shared" si="14"/>
        <v>25.07289149</v>
      </c>
      <c r="O39" s="44">
        <f t="shared" si="15"/>
        <v>38317220</v>
      </c>
      <c r="P39" s="45">
        <f t="shared" si="16"/>
        <v>16079410</v>
      </c>
      <c r="Q39" s="46">
        <f t="shared" si="17"/>
        <v>2.382999127</v>
      </c>
      <c r="R39" s="44">
        <f t="shared" si="18"/>
        <v>1926526418</v>
      </c>
      <c r="S39" s="45">
        <f t="shared" si="19"/>
        <v>45102059</v>
      </c>
      <c r="T39" s="46">
        <f t="shared" si="20"/>
        <v>42.71482191</v>
      </c>
      <c r="U39" s="44">
        <f t="shared" si="21"/>
        <v>367442218</v>
      </c>
      <c r="V39" s="45">
        <f t="shared" si="22"/>
        <v>46067689</v>
      </c>
      <c r="W39" s="46">
        <f t="shared" si="23"/>
        <v>7.976137418</v>
      </c>
      <c r="X39" s="44">
        <f t="shared" si="24"/>
        <v>652155949</v>
      </c>
      <c r="Y39" s="45">
        <f t="shared" si="25"/>
        <v>22948534</v>
      </c>
      <c r="Z39" s="46">
        <f t="shared" si="26"/>
        <v>28.41819652</v>
      </c>
      <c r="AA39" s="44">
        <f t="shared" si="27"/>
        <v>289148841</v>
      </c>
      <c r="AB39" s="45">
        <f t="shared" si="28"/>
        <v>37427064</v>
      </c>
      <c r="AC39" s="46">
        <f t="shared" si="29"/>
        <v>7.725661863</v>
      </c>
      <c r="AD39" s="44">
        <f t="shared" si="30"/>
        <v>528971666</v>
      </c>
      <c r="AE39" s="45">
        <f t="shared" si="31"/>
        <v>45788801</v>
      </c>
      <c r="AF39" s="46">
        <f t="shared" si="32"/>
        <v>11.55242449</v>
      </c>
      <c r="AG39" s="44">
        <f t="shared" si="33"/>
        <v>308500727</v>
      </c>
      <c r="AH39" s="45">
        <f t="shared" si="34"/>
        <v>15258624</v>
      </c>
      <c r="AI39" s="46">
        <f t="shared" si="35"/>
        <v>20.21812235</v>
      </c>
      <c r="AJ39" s="44">
        <f t="shared" si="36"/>
        <v>427932932</v>
      </c>
      <c r="AK39" s="45">
        <f t="shared" si="37"/>
        <v>45160332</v>
      </c>
      <c r="AL39" s="46">
        <f t="shared" si="38"/>
        <v>9.475858858</v>
      </c>
      <c r="AM39" s="44">
        <f t="shared" si="39"/>
        <v>499061054</v>
      </c>
      <c r="AN39" s="45">
        <f t="shared" si="40"/>
        <v>30733418</v>
      </c>
      <c r="AO39" s="46">
        <f t="shared" si="41"/>
        <v>16.23838435</v>
      </c>
      <c r="AP39" s="44">
        <f t="shared" si="42"/>
        <v>760417846</v>
      </c>
      <c r="AQ39" s="45">
        <f t="shared" si="43"/>
        <v>5826209</v>
      </c>
      <c r="AR39" s="46">
        <f t="shared" si="44"/>
        <v>130.516747</v>
      </c>
      <c r="AS39" s="47">
        <f t="shared" si="45"/>
        <v>10027010402</v>
      </c>
      <c r="AT39" s="48">
        <f t="shared" si="46"/>
        <v>38317690.53</v>
      </c>
      <c r="AU39" s="47">
        <f t="shared" si="47"/>
        <v>716215029</v>
      </c>
      <c r="AV39" s="49">
        <f t="shared" si="48"/>
        <v>2947514.656</v>
      </c>
      <c r="AW39" s="47">
        <f t="shared" ref="AW39:AY39" si="119">MIN(C39,F39,I39,L39,O39,R39,U39,X39,AA39,AD39,AG39,AJ39,AM39,AP39)</f>
        <v>38317220</v>
      </c>
      <c r="AX39" s="50">
        <f t="shared" si="119"/>
        <v>5826209</v>
      </c>
      <c r="AY39" s="51">
        <f t="shared" si="119"/>
        <v>2.382999127</v>
      </c>
      <c r="AZ39" s="47">
        <f t="shared" ref="AZ39:BB39" si="120">MAX(C39,F39,I39,L39,O39,R39,U39,X39,AA39,AD39,AG39,AJ39,AM39,AP39)</f>
        <v>1926526418</v>
      </c>
      <c r="BA39" s="50">
        <f t="shared" si="120"/>
        <v>49428993</v>
      </c>
      <c r="BB39" s="48">
        <f t="shared" si="120"/>
        <v>130.516747</v>
      </c>
      <c r="BC39" s="52"/>
      <c r="BD39" s="52"/>
      <c r="BE39" s="52"/>
      <c r="BF39" s="52"/>
      <c r="BG39" s="52"/>
    </row>
    <row r="40">
      <c r="A40" s="39">
        <v>41.0</v>
      </c>
      <c r="B40" s="40" t="s">
        <v>195</v>
      </c>
      <c r="C40" s="41">
        <f t="shared" si="3"/>
        <v>1497960633</v>
      </c>
      <c r="D40" s="42">
        <f t="shared" si="4"/>
        <v>44159037</v>
      </c>
      <c r="E40" s="43">
        <f t="shared" si="5"/>
        <v>33.92194972</v>
      </c>
      <c r="F40" s="41">
        <f t="shared" si="6"/>
        <v>384024669</v>
      </c>
      <c r="G40" s="42">
        <f t="shared" si="7"/>
        <v>29431007</v>
      </c>
      <c r="H40" s="43">
        <f t="shared" si="8"/>
        <v>13.04830205</v>
      </c>
      <c r="I40" s="44">
        <f t="shared" si="9"/>
        <v>1101382905</v>
      </c>
      <c r="J40" s="45">
        <f t="shared" si="10"/>
        <v>23815364</v>
      </c>
      <c r="K40" s="46">
        <f t="shared" si="11"/>
        <v>46.24673824</v>
      </c>
      <c r="L40" s="44">
        <f t="shared" si="12"/>
        <v>902126440</v>
      </c>
      <c r="M40" s="45">
        <f t="shared" si="13"/>
        <v>18446602</v>
      </c>
      <c r="N40" s="46">
        <f t="shared" si="14"/>
        <v>48.90474896</v>
      </c>
      <c r="O40" s="44">
        <f t="shared" si="15"/>
        <v>1173824632</v>
      </c>
      <c r="P40" s="45">
        <f t="shared" si="16"/>
        <v>27801663</v>
      </c>
      <c r="Q40" s="46">
        <f t="shared" si="17"/>
        <v>42.22138194</v>
      </c>
      <c r="R40" s="44">
        <f t="shared" si="18"/>
        <v>652073390</v>
      </c>
      <c r="S40" s="45">
        <f t="shared" si="19"/>
        <v>23382614</v>
      </c>
      <c r="T40" s="46">
        <f t="shared" si="20"/>
        <v>27.88710407</v>
      </c>
      <c r="U40" s="44">
        <f t="shared" si="21"/>
        <v>542368768</v>
      </c>
      <c r="V40" s="45">
        <f t="shared" si="22"/>
        <v>38167348</v>
      </c>
      <c r="W40" s="46">
        <f t="shared" si="23"/>
        <v>14.21028173</v>
      </c>
      <c r="X40" s="44">
        <f t="shared" si="24"/>
        <v>787932307</v>
      </c>
      <c r="Y40" s="45">
        <f t="shared" si="25"/>
        <v>35001017</v>
      </c>
      <c r="Z40" s="46">
        <f t="shared" si="26"/>
        <v>22.5116975</v>
      </c>
      <c r="AA40" s="44">
        <f t="shared" si="27"/>
        <v>749758240</v>
      </c>
      <c r="AB40" s="45">
        <f t="shared" si="28"/>
        <v>38586896</v>
      </c>
      <c r="AC40" s="46">
        <f t="shared" si="29"/>
        <v>19.43038486</v>
      </c>
      <c r="AD40" s="44">
        <f t="shared" si="30"/>
        <v>1318055421</v>
      </c>
      <c r="AE40" s="45">
        <f t="shared" si="31"/>
        <v>9703571</v>
      </c>
      <c r="AF40" s="46">
        <f t="shared" si="32"/>
        <v>135.8319964</v>
      </c>
      <c r="AG40" s="44">
        <f t="shared" si="33"/>
        <v>1132075465</v>
      </c>
      <c r="AH40" s="45">
        <f t="shared" si="34"/>
        <v>14558857</v>
      </c>
      <c r="AI40" s="46">
        <f t="shared" si="35"/>
        <v>77.75854004</v>
      </c>
      <c r="AJ40" s="44">
        <f t="shared" si="36"/>
        <v>1985926025</v>
      </c>
      <c r="AK40" s="45">
        <f t="shared" si="37"/>
        <v>28825627</v>
      </c>
      <c r="AL40" s="46">
        <f t="shared" si="38"/>
        <v>68.89446065</v>
      </c>
      <c r="AM40" s="44">
        <f t="shared" si="39"/>
        <v>1635521476</v>
      </c>
      <c r="AN40" s="45">
        <f t="shared" si="40"/>
        <v>29380294</v>
      </c>
      <c r="AO40" s="46">
        <f t="shared" si="41"/>
        <v>55.66729441</v>
      </c>
      <c r="AP40" s="44">
        <f t="shared" si="42"/>
        <v>1746701994</v>
      </c>
      <c r="AQ40" s="45">
        <f t="shared" si="43"/>
        <v>26273151</v>
      </c>
      <c r="AR40" s="46">
        <f t="shared" si="44"/>
        <v>66.48239467</v>
      </c>
      <c r="AS40" s="47">
        <f t="shared" si="45"/>
        <v>15609732365</v>
      </c>
      <c r="AT40" s="48">
        <f t="shared" si="46"/>
        <v>1173825214</v>
      </c>
      <c r="AU40" s="47">
        <f t="shared" si="47"/>
        <v>1114980884</v>
      </c>
      <c r="AV40" s="49">
        <f t="shared" si="48"/>
        <v>90294247.22</v>
      </c>
      <c r="AW40" s="47">
        <f t="shared" ref="AW40:AY40" si="121">MIN(C40,F40,I40,L40,O40,R40,U40,X40,AA40,AD40,AG40,AJ40,AM40,AP40)</f>
        <v>384024669</v>
      </c>
      <c r="AX40" s="50">
        <f t="shared" si="121"/>
        <v>9703571</v>
      </c>
      <c r="AY40" s="51">
        <f t="shared" si="121"/>
        <v>13.04830205</v>
      </c>
      <c r="AZ40" s="47">
        <f t="shared" ref="AZ40:BB40" si="122">MAX(C40,F40,I40,L40,O40,R40,U40,X40,AA40,AD40,AG40,AJ40,AM40,AP40)</f>
        <v>1985926025</v>
      </c>
      <c r="BA40" s="50">
        <f t="shared" si="122"/>
        <v>44159037</v>
      </c>
      <c r="BB40" s="48">
        <f t="shared" si="122"/>
        <v>135.8319964</v>
      </c>
      <c r="BC40" s="52"/>
      <c r="BD40" s="52"/>
      <c r="BE40" s="52"/>
      <c r="BF40" s="52"/>
      <c r="BG40" s="52"/>
    </row>
    <row r="41">
      <c r="A41" s="39">
        <v>42.0</v>
      </c>
      <c r="B41" s="40" t="s">
        <v>196</v>
      </c>
      <c r="C41" s="41">
        <f t="shared" si="3"/>
        <v>1246880091</v>
      </c>
      <c r="D41" s="42">
        <f t="shared" si="4"/>
        <v>3961962</v>
      </c>
      <c r="E41" s="43">
        <f t="shared" si="5"/>
        <v>314.712784</v>
      </c>
      <c r="F41" s="41">
        <f t="shared" si="6"/>
        <v>537130636</v>
      </c>
      <c r="G41" s="42">
        <f t="shared" si="7"/>
        <v>1226325</v>
      </c>
      <c r="H41" s="43">
        <f t="shared" si="8"/>
        <v>438.0002332</v>
      </c>
      <c r="I41" s="44">
        <f t="shared" si="9"/>
        <v>1228417425</v>
      </c>
      <c r="J41" s="45">
        <f t="shared" si="10"/>
        <v>31466296</v>
      </c>
      <c r="K41" s="46">
        <f t="shared" si="11"/>
        <v>39.03914922</v>
      </c>
      <c r="L41" s="44">
        <f t="shared" si="12"/>
        <v>824725093</v>
      </c>
      <c r="M41" s="45">
        <f t="shared" si="13"/>
        <v>11623408</v>
      </c>
      <c r="N41" s="46">
        <f t="shared" si="14"/>
        <v>70.95381088</v>
      </c>
      <c r="O41" s="44">
        <f t="shared" si="15"/>
        <v>662221766</v>
      </c>
      <c r="P41" s="45">
        <f t="shared" si="16"/>
        <v>17136560</v>
      </c>
      <c r="Q41" s="46">
        <f t="shared" si="17"/>
        <v>38.64379817</v>
      </c>
      <c r="R41" s="44">
        <f t="shared" si="18"/>
        <v>1784932640</v>
      </c>
      <c r="S41" s="45">
        <f t="shared" si="19"/>
        <v>2070262</v>
      </c>
      <c r="T41" s="46">
        <f t="shared" si="20"/>
        <v>862.1771737</v>
      </c>
      <c r="U41" s="44">
        <f t="shared" si="21"/>
        <v>607856842</v>
      </c>
      <c r="V41" s="45">
        <f t="shared" si="22"/>
        <v>16996334</v>
      </c>
      <c r="W41" s="46">
        <f t="shared" si="23"/>
        <v>35.76399722</v>
      </c>
      <c r="X41" s="44">
        <f t="shared" si="24"/>
        <v>981296102</v>
      </c>
      <c r="Y41" s="45">
        <f t="shared" si="25"/>
        <v>46400438</v>
      </c>
      <c r="Z41" s="46">
        <f t="shared" si="26"/>
        <v>21.14842325</v>
      </c>
      <c r="AA41" s="44">
        <f t="shared" si="27"/>
        <v>261289424</v>
      </c>
      <c r="AB41" s="45">
        <f t="shared" si="28"/>
        <v>44524104</v>
      </c>
      <c r="AC41" s="46">
        <f t="shared" si="29"/>
        <v>5.868493704</v>
      </c>
      <c r="AD41" s="44">
        <f t="shared" si="30"/>
        <v>487670001</v>
      </c>
      <c r="AE41" s="45">
        <f t="shared" si="31"/>
        <v>31858625</v>
      </c>
      <c r="AF41" s="46">
        <f t="shared" si="32"/>
        <v>15.30731477</v>
      </c>
      <c r="AG41" s="44">
        <f t="shared" si="33"/>
        <v>1845637883</v>
      </c>
      <c r="AH41" s="45">
        <f t="shared" si="34"/>
        <v>9944920</v>
      </c>
      <c r="AI41" s="46">
        <f t="shared" si="35"/>
        <v>185.585996</v>
      </c>
      <c r="AJ41" s="44">
        <f t="shared" si="36"/>
        <v>1217396632</v>
      </c>
      <c r="AK41" s="45">
        <f t="shared" si="37"/>
        <v>29997435</v>
      </c>
      <c r="AL41" s="46">
        <f t="shared" si="38"/>
        <v>40.58335761</v>
      </c>
      <c r="AM41" s="44">
        <f t="shared" si="39"/>
        <v>202094655</v>
      </c>
      <c r="AN41" s="45">
        <f t="shared" si="40"/>
        <v>15032082</v>
      </c>
      <c r="AO41" s="46">
        <f t="shared" si="41"/>
        <v>13.4442225</v>
      </c>
      <c r="AP41" s="44">
        <f t="shared" si="42"/>
        <v>786061342</v>
      </c>
      <c r="AQ41" s="45">
        <f t="shared" si="43"/>
        <v>38338704</v>
      </c>
      <c r="AR41" s="46">
        <f t="shared" si="44"/>
        <v>20.50307548</v>
      </c>
      <c r="AS41" s="47">
        <f t="shared" si="45"/>
        <v>12673610532</v>
      </c>
      <c r="AT41" s="48">
        <f t="shared" si="46"/>
        <v>662223758.1</v>
      </c>
      <c r="AU41" s="47">
        <f t="shared" si="47"/>
        <v>905257896</v>
      </c>
      <c r="AV41" s="49">
        <f t="shared" si="48"/>
        <v>50940289.09</v>
      </c>
      <c r="AW41" s="47">
        <f t="shared" ref="AW41:AY41" si="123">MIN(C41,F41,I41,L41,O41,R41,U41,X41,AA41,AD41,AG41,AJ41,AM41,AP41)</f>
        <v>202094655</v>
      </c>
      <c r="AX41" s="50">
        <f t="shared" si="123"/>
        <v>1226325</v>
      </c>
      <c r="AY41" s="51">
        <f t="shared" si="123"/>
        <v>5.868493704</v>
      </c>
      <c r="AZ41" s="47">
        <f t="shared" ref="AZ41:BB41" si="124">MAX(C41,F41,I41,L41,O41,R41,U41,X41,AA41,AD41,AG41,AJ41,AM41,AP41)</f>
        <v>1845637883</v>
      </c>
      <c r="BA41" s="50">
        <f t="shared" si="124"/>
        <v>46400438</v>
      </c>
      <c r="BB41" s="48">
        <f t="shared" si="124"/>
        <v>862.1771737</v>
      </c>
      <c r="BC41" s="52"/>
      <c r="BD41" s="52"/>
      <c r="BE41" s="52"/>
      <c r="BF41" s="52"/>
      <c r="BG41" s="52"/>
    </row>
    <row r="42">
      <c r="A42" s="39">
        <v>43.0</v>
      </c>
      <c r="B42" s="40" t="s">
        <v>197</v>
      </c>
      <c r="C42" s="41">
        <f t="shared" si="3"/>
        <v>65257179</v>
      </c>
      <c r="D42" s="42">
        <f t="shared" si="4"/>
        <v>39545798</v>
      </c>
      <c r="E42" s="43">
        <f t="shared" si="5"/>
        <v>1.650167206</v>
      </c>
      <c r="F42" s="41">
        <f t="shared" si="6"/>
        <v>797034399</v>
      </c>
      <c r="G42" s="42">
        <f t="shared" si="7"/>
        <v>39802980</v>
      </c>
      <c r="H42" s="43">
        <f t="shared" si="8"/>
        <v>20.0244906</v>
      </c>
      <c r="I42" s="44">
        <f t="shared" si="9"/>
        <v>1472544825</v>
      </c>
      <c r="J42" s="45">
        <f t="shared" si="10"/>
        <v>32563254</v>
      </c>
      <c r="K42" s="46">
        <f t="shared" si="11"/>
        <v>45.22105884</v>
      </c>
      <c r="L42" s="44">
        <f t="shared" si="12"/>
        <v>1441330938</v>
      </c>
      <c r="M42" s="45">
        <f t="shared" si="13"/>
        <v>47304870</v>
      </c>
      <c r="N42" s="46">
        <f t="shared" si="14"/>
        <v>30.46897577</v>
      </c>
      <c r="O42" s="44">
        <f t="shared" si="15"/>
        <v>1407371723</v>
      </c>
      <c r="P42" s="45">
        <f t="shared" si="16"/>
        <v>44319007</v>
      </c>
      <c r="Q42" s="46">
        <f t="shared" si="17"/>
        <v>31.75548863</v>
      </c>
      <c r="R42" s="44">
        <f t="shared" si="18"/>
        <v>1626772673</v>
      </c>
      <c r="S42" s="45">
        <f t="shared" si="19"/>
        <v>10956950</v>
      </c>
      <c r="T42" s="46">
        <f t="shared" si="20"/>
        <v>148.4694804</v>
      </c>
      <c r="U42" s="44">
        <f t="shared" si="21"/>
        <v>579377209</v>
      </c>
      <c r="V42" s="45">
        <f t="shared" si="22"/>
        <v>4561558</v>
      </c>
      <c r="W42" s="46">
        <f t="shared" si="23"/>
        <v>127.0130094</v>
      </c>
      <c r="X42" s="44">
        <f t="shared" si="24"/>
        <v>806287386</v>
      </c>
      <c r="Y42" s="45">
        <f t="shared" si="25"/>
        <v>25256518</v>
      </c>
      <c r="Z42" s="46">
        <f t="shared" si="26"/>
        <v>31.9239329</v>
      </c>
      <c r="AA42" s="44">
        <f t="shared" si="27"/>
        <v>1958775874</v>
      </c>
      <c r="AB42" s="45">
        <f t="shared" si="28"/>
        <v>20086279</v>
      </c>
      <c r="AC42" s="46">
        <f t="shared" si="29"/>
        <v>97.51810547</v>
      </c>
      <c r="AD42" s="44">
        <f t="shared" si="30"/>
        <v>1596844810</v>
      </c>
      <c r="AE42" s="45">
        <f t="shared" si="31"/>
        <v>6563717</v>
      </c>
      <c r="AF42" s="46">
        <f t="shared" si="32"/>
        <v>243.2836166</v>
      </c>
      <c r="AG42" s="44">
        <f t="shared" si="33"/>
        <v>495635579</v>
      </c>
      <c r="AH42" s="45">
        <f t="shared" si="34"/>
        <v>14402909</v>
      </c>
      <c r="AI42" s="46">
        <f t="shared" si="35"/>
        <v>34.41218569</v>
      </c>
      <c r="AJ42" s="44">
        <f t="shared" si="36"/>
        <v>909155300</v>
      </c>
      <c r="AK42" s="45">
        <f t="shared" si="37"/>
        <v>20454995</v>
      </c>
      <c r="AL42" s="46">
        <f t="shared" si="38"/>
        <v>44.44661561</v>
      </c>
      <c r="AM42" s="44">
        <f t="shared" si="39"/>
        <v>803749636</v>
      </c>
      <c r="AN42" s="45">
        <f t="shared" si="40"/>
        <v>23693464</v>
      </c>
      <c r="AO42" s="46">
        <f t="shared" si="41"/>
        <v>33.92284201</v>
      </c>
      <c r="AP42" s="44">
        <f t="shared" si="42"/>
        <v>65064055</v>
      </c>
      <c r="AQ42" s="45">
        <f t="shared" si="43"/>
        <v>35531703</v>
      </c>
      <c r="AR42" s="46">
        <f t="shared" si="44"/>
        <v>1.831154983</v>
      </c>
      <c r="AS42" s="47">
        <f t="shared" si="45"/>
        <v>14025201586</v>
      </c>
      <c r="AT42" s="48">
        <f t="shared" si="46"/>
        <v>1407372553</v>
      </c>
      <c r="AU42" s="47">
        <f t="shared" si="47"/>
        <v>1001800114</v>
      </c>
      <c r="AV42" s="49">
        <f t="shared" si="48"/>
        <v>108259427.1</v>
      </c>
      <c r="AW42" s="47">
        <f t="shared" ref="AW42:AY42" si="125">MIN(C42,F42,I42,L42,O42,R42,U42,X42,AA42,AD42,AG42,AJ42,AM42,AP42)</f>
        <v>65064055</v>
      </c>
      <c r="AX42" s="50">
        <f t="shared" si="125"/>
        <v>4561558</v>
      </c>
      <c r="AY42" s="51">
        <f t="shared" si="125"/>
        <v>1.650167206</v>
      </c>
      <c r="AZ42" s="47">
        <f t="shared" ref="AZ42:BB42" si="126">MAX(C42,F42,I42,L42,O42,R42,U42,X42,AA42,AD42,AG42,AJ42,AM42,AP42)</f>
        <v>1958775874</v>
      </c>
      <c r="BA42" s="50">
        <f t="shared" si="126"/>
        <v>47304870</v>
      </c>
      <c r="BB42" s="48">
        <f t="shared" si="126"/>
        <v>243.2836166</v>
      </c>
      <c r="BC42" s="52"/>
      <c r="BD42" s="52"/>
      <c r="BE42" s="52"/>
      <c r="BF42" s="52"/>
      <c r="BG42" s="52"/>
    </row>
    <row r="43">
      <c r="A43" s="53">
        <v>44.0</v>
      </c>
      <c r="B43" s="54" t="s">
        <v>198</v>
      </c>
      <c r="C43" s="41">
        <f t="shared" si="3"/>
        <v>1679759224</v>
      </c>
      <c r="D43" s="42">
        <f t="shared" si="4"/>
        <v>27591856</v>
      </c>
      <c r="E43" s="43">
        <f t="shared" si="5"/>
        <v>60.87880511</v>
      </c>
      <c r="F43" s="41">
        <f t="shared" si="6"/>
        <v>992100464</v>
      </c>
      <c r="G43" s="42">
        <f t="shared" si="7"/>
        <v>32886001</v>
      </c>
      <c r="H43" s="43">
        <f t="shared" si="8"/>
        <v>30.16786577</v>
      </c>
      <c r="I43" s="44">
        <f t="shared" si="9"/>
        <v>1927752239</v>
      </c>
      <c r="J43" s="45">
        <f t="shared" si="10"/>
        <v>46354651</v>
      </c>
      <c r="K43" s="46">
        <f t="shared" si="11"/>
        <v>41.58702951</v>
      </c>
      <c r="L43" s="44">
        <f t="shared" si="12"/>
        <v>1850652376</v>
      </c>
      <c r="M43" s="45">
        <f t="shared" si="13"/>
        <v>12604200</v>
      </c>
      <c r="N43" s="46">
        <f t="shared" si="14"/>
        <v>146.82823</v>
      </c>
      <c r="O43" s="44">
        <f t="shared" si="15"/>
        <v>570827887</v>
      </c>
      <c r="P43" s="45">
        <f t="shared" si="16"/>
        <v>16054727</v>
      </c>
      <c r="Q43" s="46">
        <f t="shared" si="17"/>
        <v>35.55512884</v>
      </c>
      <c r="R43" s="44">
        <f t="shared" si="18"/>
        <v>1559469765</v>
      </c>
      <c r="S43" s="45">
        <f t="shared" si="19"/>
        <v>12713937</v>
      </c>
      <c r="T43" s="46">
        <f t="shared" si="20"/>
        <v>122.6582895</v>
      </c>
      <c r="U43" s="44">
        <f t="shared" si="21"/>
        <v>601531480</v>
      </c>
      <c r="V43" s="45">
        <f t="shared" si="22"/>
        <v>14979014</v>
      </c>
      <c r="W43" s="46">
        <f t="shared" si="23"/>
        <v>40.15828278</v>
      </c>
      <c r="X43" s="44">
        <f t="shared" si="24"/>
        <v>1035118327</v>
      </c>
      <c r="Y43" s="45">
        <f t="shared" si="25"/>
        <v>22484465</v>
      </c>
      <c r="Z43" s="46">
        <f t="shared" si="26"/>
        <v>46.037045</v>
      </c>
      <c r="AA43" s="44">
        <f t="shared" si="27"/>
        <v>1785079473</v>
      </c>
      <c r="AB43" s="45">
        <f t="shared" si="28"/>
        <v>42932495</v>
      </c>
      <c r="AC43" s="46">
        <f t="shared" si="29"/>
        <v>41.57874992</v>
      </c>
      <c r="AD43" s="44">
        <f t="shared" si="30"/>
        <v>1643491213</v>
      </c>
      <c r="AE43" s="45">
        <f t="shared" si="31"/>
        <v>4510207</v>
      </c>
      <c r="AF43" s="46">
        <f t="shared" si="32"/>
        <v>364.3937436</v>
      </c>
      <c r="AG43" s="44">
        <f t="shared" si="33"/>
        <v>1410646904</v>
      </c>
      <c r="AH43" s="45">
        <f t="shared" si="34"/>
        <v>34083981</v>
      </c>
      <c r="AI43" s="46">
        <f t="shared" si="35"/>
        <v>41.38738676</v>
      </c>
      <c r="AJ43" s="44">
        <f t="shared" si="36"/>
        <v>721510578</v>
      </c>
      <c r="AK43" s="45">
        <f t="shared" si="37"/>
        <v>39612767</v>
      </c>
      <c r="AL43" s="46">
        <f t="shared" si="38"/>
        <v>18.21409189</v>
      </c>
      <c r="AM43" s="44">
        <f t="shared" si="39"/>
        <v>685365160</v>
      </c>
      <c r="AN43" s="45">
        <f t="shared" si="40"/>
        <v>24713988</v>
      </c>
      <c r="AO43" s="46">
        <f t="shared" si="41"/>
        <v>27.73187233</v>
      </c>
      <c r="AP43" s="44">
        <f t="shared" si="42"/>
        <v>1307852786</v>
      </c>
      <c r="AQ43" s="45">
        <f t="shared" si="43"/>
        <v>39701495</v>
      </c>
      <c r="AR43" s="46">
        <f t="shared" si="44"/>
        <v>32.9421546</v>
      </c>
      <c r="AS43" s="47">
        <f t="shared" si="45"/>
        <v>17771157876</v>
      </c>
      <c r="AT43" s="48">
        <f t="shared" si="46"/>
        <v>570828754.7</v>
      </c>
      <c r="AU43" s="47">
        <f t="shared" si="47"/>
        <v>1269368420</v>
      </c>
      <c r="AV43" s="49">
        <f t="shared" si="48"/>
        <v>43909904.21</v>
      </c>
      <c r="AW43" s="47">
        <f t="shared" ref="AW43:AY43" si="127">MIN(C43,F43,I43,L43,O43,R43,U43,X43,AA43,AD43,AG43,AJ43,AM43,AP43)</f>
        <v>570827887</v>
      </c>
      <c r="AX43" s="50">
        <f t="shared" si="127"/>
        <v>4510207</v>
      </c>
      <c r="AY43" s="51">
        <f t="shared" si="127"/>
        <v>18.21409189</v>
      </c>
      <c r="AZ43" s="47">
        <f t="shared" ref="AZ43:BB43" si="128">MAX(C43,F43,I43,L43,O43,R43,U43,X43,AA43,AD43,AG43,AJ43,AM43,AP43)</f>
        <v>1927752239</v>
      </c>
      <c r="BA43" s="50">
        <f t="shared" si="128"/>
        <v>46354651</v>
      </c>
      <c r="BB43" s="48">
        <f t="shared" si="128"/>
        <v>364.3937436</v>
      </c>
      <c r="BC43" s="52"/>
      <c r="BD43" s="52"/>
      <c r="BE43" s="52"/>
      <c r="BF43" s="52"/>
      <c r="BG43" s="52"/>
    </row>
    <row r="44">
      <c r="A44" s="52"/>
      <c r="B44" s="52"/>
      <c r="C44" s="50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47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</row>
    <row r="45">
      <c r="A45" s="52"/>
      <c r="B45" s="52"/>
      <c r="C45" s="50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47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</row>
    <row r="46">
      <c r="A46" s="52"/>
      <c r="B46" s="11"/>
      <c r="C46" s="50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47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</row>
    <row r="47">
      <c r="A47" s="52"/>
      <c r="B47" s="52"/>
      <c r="C47" s="50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47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</row>
    <row r="48">
      <c r="A48" s="52"/>
      <c r="B48" s="52"/>
      <c r="C48" s="50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47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</row>
    <row r="49">
      <c r="A49" s="52"/>
      <c r="B49" s="52"/>
      <c r="C49" s="50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47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</row>
    <row r="50">
      <c r="A50" s="52"/>
      <c r="B50" s="52"/>
      <c r="C50" s="50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47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</row>
    <row r="51">
      <c r="A51" s="52"/>
      <c r="B51" s="52"/>
      <c r="C51" s="50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47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</row>
    <row r="52">
      <c r="A52" s="52"/>
      <c r="B52" s="52"/>
      <c r="C52" s="50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47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</row>
    <row r="53">
      <c r="A53" s="52"/>
      <c r="B53" s="52"/>
      <c r="C53" s="50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47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</row>
    <row r="54">
      <c r="A54" s="52"/>
      <c r="B54" s="52"/>
      <c r="C54" s="50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47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</row>
    <row r="55">
      <c r="A55" s="52"/>
      <c r="B55" s="52"/>
      <c r="C55" s="50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47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</row>
    <row r="56">
      <c r="A56" s="52"/>
      <c r="B56" s="52"/>
      <c r="C56" s="50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47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</row>
    <row r="57">
      <c r="A57" s="52"/>
      <c r="B57" s="52"/>
      <c r="C57" s="50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47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</row>
    <row r="58">
      <c r="A58" s="52"/>
      <c r="B58" s="52"/>
      <c r="C58" s="50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47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</row>
    <row r="59">
      <c r="A59" s="52"/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47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</row>
    <row r="60">
      <c r="A60" s="52"/>
      <c r="B60" s="52"/>
      <c r="C60" s="5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47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</row>
    <row r="61">
      <c r="A61" s="52"/>
      <c r="B61" s="52"/>
      <c r="C61" s="50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47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</row>
    <row r="62">
      <c r="A62" s="52"/>
      <c r="B62" s="52"/>
      <c r="C62" s="50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47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</row>
    <row r="63">
      <c r="A63" s="52"/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47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</row>
    <row r="64">
      <c r="A64" s="52"/>
      <c r="B64" s="52"/>
      <c r="C64" s="50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47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</row>
    <row r="65">
      <c r="A65" s="52"/>
      <c r="B65" s="52"/>
      <c r="C65" s="50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47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</row>
    <row r="66">
      <c r="A66" s="52"/>
      <c r="B66" s="52"/>
      <c r="C66" s="50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47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</row>
    <row r="67">
      <c r="A67" s="52"/>
      <c r="B67" s="52"/>
      <c r="C67" s="50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47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</row>
    <row r="68">
      <c r="A68" s="52"/>
      <c r="B68" s="52"/>
      <c r="C68" s="50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47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</row>
    <row r="69">
      <c r="A69" s="52"/>
      <c r="B69" s="52"/>
      <c r="C69" s="50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47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</row>
    <row r="70">
      <c r="A70" s="52"/>
      <c r="B70" s="52"/>
      <c r="C70" s="50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47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</row>
    <row r="71">
      <c r="A71" s="52"/>
      <c r="B71" s="52"/>
      <c r="C71" s="50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47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</row>
    <row r="72">
      <c r="A72" s="52"/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47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</row>
    <row r="73">
      <c r="A73" s="52"/>
      <c r="B73" s="52"/>
      <c r="C73" s="50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47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</row>
    <row r="74">
      <c r="A74" s="52"/>
      <c r="B74" s="52"/>
      <c r="C74" s="50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47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</row>
    <row r="75">
      <c r="A75" s="52"/>
      <c r="B75" s="52"/>
      <c r="C75" s="50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47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>
      <c r="A76" s="52"/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47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</row>
    <row r="77">
      <c r="A77" s="52"/>
      <c r="B77" s="52"/>
      <c r="C77" s="50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47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</row>
    <row r="78">
      <c r="A78" s="52"/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47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</row>
    <row r="79">
      <c r="A79" s="52"/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47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</row>
    <row r="80">
      <c r="A80" s="52"/>
      <c r="B80" s="52"/>
      <c r="C80" s="50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47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>
      <c r="A81" s="52"/>
      <c r="B81" s="52"/>
      <c r="C81" s="50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47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</row>
    <row r="82">
      <c r="A82" s="52"/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47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</row>
    <row r="83">
      <c r="A83" s="52"/>
      <c r="B83" s="52"/>
      <c r="C83" s="50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47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</row>
    <row r="84">
      <c r="A84" s="52"/>
      <c r="B84" s="52"/>
      <c r="C84" s="50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47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</row>
    <row r="85">
      <c r="A85" s="52"/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47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</row>
    <row r="86">
      <c r="A86" s="52"/>
      <c r="B86" s="52"/>
      <c r="C86" s="50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47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</row>
    <row r="87">
      <c r="A87" s="52"/>
      <c r="B87" s="52"/>
      <c r="C87" s="50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47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</row>
    <row r="88">
      <c r="A88" s="52"/>
      <c r="B88" s="52"/>
      <c r="C88" s="50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47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</row>
    <row r="89">
      <c r="A89" s="52"/>
      <c r="B89" s="52"/>
      <c r="C89" s="50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47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</row>
    <row r="90">
      <c r="A90" s="52"/>
      <c r="B90" s="52"/>
      <c r="C90" s="50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47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</row>
    <row r="91">
      <c r="A91" s="52"/>
      <c r="B91" s="52"/>
      <c r="C91" s="50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47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</row>
    <row r="92">
      <c r="A92" s="52"/>
      <c r="B92" s="52"/>
      <c r="C92" s="50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47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</row>
    <row r="93">
      <c r="A93" s="52"/>
      <c r="B93" s="52"/>
      <c r="C93" s="50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47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</row>
    <row r="94">
      <c r="A94" s="52"/>
      <c r="B94" s="52"/>
      <c r="C94" s="50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47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</row>
    <row r="95">
      <c r="A95" s="52"/>
      <c r="B95" s="52"/>
      <c r="C95" s="50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47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</row>
    <row r="96">
      <c r="A96" s="52"/>
      <c r="B96" s="52"/>
      <c r="C96" s="50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47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</row>
    <row r="97">
      <c r="A97" s="52"/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47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</row>
    <row r="98">
      <c r="A98" s="52"/>
      <c r="B98" s="52"/>
      <c r="C98" s="50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47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</row>
    <row r="99">
      <c r="A99" s="52"/>
      <c r="B99" s="52"/>
      <c r="C99" s="50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47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</row>
    <row r="100">
      <c r="A100" s="52"/>
      <c r="B100" s="52"/>
      <c r="C100" s="50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47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</row>
    <row r="101">
      <c r="A101" s="52"/>
      <c r="B101" s="52"/>
      <c r="C101" s="50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47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</row>
    <row r="102">
      <c r="A102" s="52"/>
      <c r="B102" s="52"/>
      <c r="C102" s="50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47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</row>
    <row r="103">
      <c r="A103" s="52"/>
      <c r="B103" s="52"/>
      <c r="C103" s="50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47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</row>
    <row r="104">
      <c r="A104" s="52"/>
      <c r="B104" s="52"/>
      <c r="C104" s="50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47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</row>
    <row r="105">
      <c r="A105" s="52"/>
      <c r="B105" s="52"/>
      <c r="C105" s="50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47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</row>
    <row r="106">
      <c r="A106" s="52"/>
      <c r="B106" s="52"/>
      <c r="C106" s="50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47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</row>
    <row r="107">
      <c r="A107" s="52"/>
      <c r="B107" s="52"/>
      <c r="C107" s="50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47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</row>
    <row r="108">
      <c r="A108" s="52"/>
      <c r="B108" s="52"/>
      <c r="C108" s="50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47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</row>
    <row r="109">
      <c r="A109" s="52"/>
      <c r="B109" s="52"/>
      <c r="C109" s="50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47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</row>
    <row r="110">
      <c r="A110" s="52"/>
      <c r="B110" s="52"/>
      <c r="C110" s="50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47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</row>
    <row r="111">
      <c r="A111" s="52"/>
      <c r="B111" s="52"/>
      <c r="C111" s="50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47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</row>
    <row r="112">
      <c r="A112" s="52"/>
      <c r="B112" s="52"/>
      <c r="C112" s="50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47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</row>
    <row r="113">
      <c r="A113" s="52"/>
      <c r="B113" s="52"/>
      <c r="C113" s="50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47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</row>
    <row r="114">
      <c r="A114" s="52"/>
      <c r="B114" s="52"/>
      <c r="C114" s="50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47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</row>
    <row r="115">
      <c r="A115" s="52"/>
      <c r="B115" s="52"/>
      <c r="C115" s="50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47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</row>
    <row r="116">
      <c r="A116" s="52"/>
      <c r="B116" s="52"/>
      <c r="C116" s="50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47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</row>
    <row r="117">
      <c r="A117" s="52"/>
      <c r="B117" s="52"/>
      <c r="C117" s="50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47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</row>
    <row r="118">
      <c r="A118" s="52"/>
      <c r="B118" s="52"/>
      <c r="C118" s="50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47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</row>
    <row r="119">
      <c r="A119" s="52"/>
      <c r="B119" s="52"/>
      <c r="C119" s="50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47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</row>
    <row r="120">
      <c r="A120" s="52"/>
      <c r="B120" s="52"/>
      <c r="C120" s="50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47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</row>
    <row r="121">
      <c r="A121" s="52"/>
      <c r="B121" s="52"/>
      <c r="C121" s="50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47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</row>
    <row r="122">
      <c r="A122" s="52"/>
      <c r="B122" s="52"/>
      <c r="C122" s="50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47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</row>
    <row r="123">
      <c r="A123" s="52"/>
      <c r="B123" s="52"/>
      <c r="C123" s="50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47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</row>
    <row r="124">
      <c r="A124" s="52"/>
      <c r="B124" s="52"/>
      <c r="C124" s="50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47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</row>
    <row r="125">
      <c r="A125" s="52"/>
      <c r="B125" s="52"/>
      <c r="C125" s="50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47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</row>
    <row r="126">
      <c r="A126" s="52"/>
      <c r="B126" s="52"/>
      <c r="C126" s="50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47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</row>
    <row r="127">
      <c r="A127" s="52"/>
      <c r="B127" s="52"/>
      <c r="C127" s="50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47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</row>
    <row r="128">
      <c r="A128" s="52"/>
      <c r="B128" s="52"/>
      <c r="C128" s="50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47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</row>
    <row r="129">
      <c r="A129" s="52"/>
      <c r="B129" s="52"/>
      <c r="C129" s="50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47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</row>
    <row r="130">
      <c r="A130" s="52"/>
      <c r="B130" s="52"/>
      <c r="C130" s="50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47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</row>
    <row r="131">
      <c r="A131" s="52"/>
      <c r="B131" s="52"/>
      <c r="C131" s="50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47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</row>
    <row r="132">
      <c r="A132" s="52"/>
      <c r="B132" s="52"/>
      <c r="C132" s="50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47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</row>
    <row r="133">
      <c r="A133" s="52"/>
      <c r="B133" s="52"/>
      <c r="C133" s="50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47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</row>
    <row r="134">
      <c r="A134" s="52"/>
      <c r="B134" s="52"/>
      <c r="C134" s="50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47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</row>
    <row r="135">
      <c r="A135" s="52"/>
      <c r="B135" s="52"/>
      <c r="C135" s="50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47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</row>
    <row r="136">
      <c r="A136" s="52"/>
      <c r="B136" s="52"/>
      <c r="C136" s="50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47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</row>
    <row r="137">
      <c r="A137" s="52"/>
      <c r="B137" s="52"/>
      <c r="C137" s="50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47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</row>
    <row r="138">
      <c r="A138" s="52"/>
      <c r="B138" s="52"/>
      <c r="C138" s="50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47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</row>
    <row r="139">
      <c r="A139" s="52"/>
      <c r="B139" s="52"/>
      <c r="C139" s="50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47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</row>
    <row r="140">
      <c r="A140" s="52"/>
      <c r="B140" s="52"/>
      <c r="C140" s="50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47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</row>
    <row r="141">
      <c r="A141" s="52"/>
      <c r="B141" s="52"/>
      <c r="C141" s="50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47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</row>
    <row r="142">
      <c r="A142" s="52"/>
      <c r="B142" s="52"/>
      <c r="C142" s="50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47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</row>
    <row r="143">
      <c r="A143" s="52"/>
      <c r="B143" s="52"/>
      <c r="C143" s="50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47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</row>
    <row r="144">
      <c r="A144" s="52"/>
      <c r="B144" s="52"/>
      <c r="C144" s="50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47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</row>
    <row r="145">
      <c r="A145" s="52"/>
      <c r="B145" s="52"/>
      <c r="C145" s="50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47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</row>
    <row r="146">
      <c r="A146" s="52"/>
      <c r="B146" s="52"/>
      <c r="C146" s="50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47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</row>
    <row r="147">
      <c r="A147" s="52"/>
      <c r="B147" s="52"/>
      <c r="C147" s="50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47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</row>
    <row r="148">
      <c r="A148" s="52"/>
      <c r="B148" s="52"/>
      <c r="C148" s="50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47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</row>
    <row r="149">
      <c r="A149" s="52"/>
      <c r="B149" s="52"/>
      <c r="C149" s="50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47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</row>
    <row r="150">
      <c r="A150" s="52"/>
      <c r="B150" s="52"/>
      <c r="C150" s="50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47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</row>
    <row r="151">
      <c r="A151" s="52"/>
      <c r="B151" s="52"/>
      <c r="C151" s="50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47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</row>
    <row r="152">
      <c r="A152" s="52"/>
      <c r="B152" s="52"/>
      <c r="C152" s="50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47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</row>
    <row r="153">
      <c r="A153" s="52"/>
      <c r="B153" s="52"/>
      <c r="C153" s="50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47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</row>
    <row r="154">
      <c r="A154" s="52"/>
      <c r="B154" s="52"/>
      <c r="C154" s="50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47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</row>
    <row r="155">
      <c r="A155" s="52"/>
      <c r="B155" s="52"/>
      <c r="C155" s="50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47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</row>
    <row r="156">
      <c r="A156" s="52"/>
      <c r="B156" s="52"/>
      <c r="C156" s="50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47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</row>
    <row r="157">
      <c r="A157" s="52"/>
      <c r="B157" s="52"/>
      <c r="C157" s="50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47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</row>
    <row r="158">
      <c r="A158" s="52"/>
      <c r="B158" s="52"/>
      <c r="C158" s="50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47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</row>
    <row r="159">
      <c r="A159" s="52"/>
      <c r="B159" s="52"/>
      <c r="C159" s="50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47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</row>
    <row r="160">
      <c r="A160" s="52"/>
      <c r="B160" s="52"/>
      <c r="C160" s="50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47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</row>
    <row r="161">
      <c r="A161" s="52"/>
      <c r="B161" s="52"/>
      <c r="C161" s="50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47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</row>
    <row r="162">
      <c r="A162" s="52"/>
      <c r="B162" s="52"/>
      <c r="C162" s="50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47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</row>
    <row r="163">
      <c r="A163" s="52"/>
      <c r="B163" s="52"/>
      <c r="C163" s="50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47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</row>
    <row r="164">
      <c r="A164" s="52"/>
      <c r="B164" s="52"/>
      <c r="C164" s="50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47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</row>
    <row r="165">
      <c r="A165" s="52"/>
      <c r="B165" s="52"/>
      <c r="C165" s="50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47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</row>
    <row r="166">
      <c r="A166" s="52"/>
      <c r="B166" s="52"/>
      <c r="C166" s="50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47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</row>
    <row r="167">
      <c r="A167" s="52"/>
      <c r="B167" s="52"/>
      <c r="C167" s="50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47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</row>
    <row r="168">
      <c r="A168" s="52"/>
      <c r="B168" s="52"/>
      <c r="C168" s="50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47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</row>
    <row r="169">
      <c r="A169" s="52"/>
      <c r="B169" s="52"/>
      <c r="C169" s="50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47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</row>
    <row r="170">
      <c r="A170" s="52"/>
      <c r="B170" s="52"/>
      <c r="C170" s="50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47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</row>
    <row r="171">
      <c r="A171" s="52"/>
      <c r="B171" s="52"/>
      <c r="C171" s="50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47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</row>
    <row r="172">
      <c r="A172" s="52"/>
      <c r="B172" s="52"/>
      <c r="C172" s="50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47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</row>
    <row r="173">
      <c r="A173" s="52"/>
      <c r="B173" s="52"/>
      <c r="C173" s="50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47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</row>
    <row r="174">
      <c r="A174" s="52"/>
      <c r="B174" s="52"/>
      <c r="C174" s="50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47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</row>
    <row r="175">
      <c r="A175" s="52"/>
      <c r="B175" s="52"/>
      <c r="C175" s="50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47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</row>
    <row r="176">
      <c r="A176" s="52"/>
      <c r="B176" s="52"/>
      <c r="C176" s="50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47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</row>
    <row r="177">
      <c r="A177" s="52"/>
      <c r="B177" s="52"/>
      <c r="C177" s="50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47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</row>
    <row r="178">
      <c r="A178" s="52"/>
      <c r="B178" s="52"/>
      <c r="C178" s="50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47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</row>
    <row r="179">
      <c r="A179" s="52"/>
      <c r="B179" s="52"/>
      <c r="C179" s="50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47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</row>
    <row r="180">
      <c r="A180" s="52"/>
      <c r="B180" s="52"/>
      <c r="C180" s="50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47"/>
      <c r="AV180" s="52"/>
      <c r="AW180" s="52"/>
      <c r="AX180" s="52"/>
      <c r="AY180" s="52"/>
      <c r="AZ180" s="52"/>
      <c r="BA180" s="52"/>
      <c r="BB180" s="52"/>
      <c r="BC180" s="52"/>
      <c r="BD180" s="52"/>
      <c r="BE180" s="52"/>
      <c r="BF180" s="52"/>
      <c r="BG180" s="52"/>
    </row>
    <row r="181">
      <c r="A181" s="52"/>
      <c r="B181" s="52"/>
      <c r="C181" s="50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47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</row>
    <row r="182">
      <c r="A182" s="52"/>
      <c r="B182" s="52"/>
      <c r="C182" s="50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  <c r="AQ182" s="52"/>
      <c r="AR182" s="52"/>
      <c r="AS182" s="52"/>
      <c r="AT182" s="52"/>
      <c r="AU182" s="47"/>
      <c r="AV182" s="52"/>
      <c r="AW182" s="52"/>
      <c r="AX182" s="52"/>
      <c r="AY182" s="52"/>
      <c r="AZ182" s="52"/>
      <c r="BA182" s="52"/>
      <c r="BB182" s="52"/>
      <c r="BC182" s="52"/>
      <c r="BD182" s="52"/>
      <c r="BE182" s="52"/>
      <c r="BF182" s="52"/>
      <c r="BG182" s="52"/>
    </row>
    <row r="183">
      <c r="A183" s="52"/>
      <c r="B183" s="52"/>
      <c r="C183" s="50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47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</row>
    <row r="184">
      <c r="A184" s="52"/>
      <c r="B184" s="52"/>
      <c r="C184" s="50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52"/>
      <c r="AS184" s="52"/>
      <c r="AT184" s="52"/>
      <c r="AU184" s="47"/>
      <c r="AV184" s="52"/>
      <c r="AW184" s="52"/>
      <c r="AX184" s="52"/>
      <c r="AY184" s="52"/>
      <c r="AZ184" s="52"/>
      <c r="BA184" s="52"/>
      <c r="BB184" s="52"/>
      <c r="BC184" s="52"/>
      <c r="BD184" s="52"/>
      <c r="BE184" s="52"/>
      <c r="BF184" s="52"/>
      <c r="BG184" s="52"/>
    </row>
    <row r="185">
      <c r="A185" s="52"/>
      <c r="B185" s="52"/>
      <c r="C185" s="50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47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</row>
    <row r="186">
      <c r="A186" s="52"/>
      <c r="B186" s="52"/>
      <c r="C186" s="50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52"/>
      <c r="AS186" s="52"/>
      <c r="AT186" s="52"/>
      <c r="AU186" s="47"/>
      <c r="AV186" s="52"/>
      <c r="AW186" s="52"/>
      <c r="AX186" s="52"/>
      <c r="AY186" s="52"/>
      <c r="AZ186" s="52"/>
      <c r="BA186" s="52"/>
      <c r="BB186" s="52"/>
      <c r="BC186" s="52"/>
      <c r="BD186" s="52"/>
      <c r="BE186" s="52"/>
      <c r="BF186" s="52"/>
      <c r="BG186" s="52"/>
    </row>
    <row r="187">
      <c r="A187" s="52"/>
      <c r="B187" s="52"/>
      <c r="C187" s="50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47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</row>
    <row r="188">
      <c r="A188" s="52"/>
      <c r="B188" s="52"/>
      <c r="C188" s="50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  <c r="AQ188" s="52"/>
      <c r="AR188" s="52"/>
      <c r="AS188" s="52"/>
      <c r="AT188" s="52"/>
      <c r="AU188" s="47"/>
      <c r="AV188" s="52"/>
      <c r="AW188" s="52"/>
      <c r="AX188" s="52"/>
      <c r="AY188" s="52"/>
      <c r="AZ188" s="52"/>
      <c r="BA188" s="52"/>
      <c r="BB188" s="52"/>
      <c r="BC188" s="52"/>
      <c r="BD188" s="52"/>
      <c r="BE188" s="52"/>
      <c r="BF188" s="52"/>
      <c r="BG188" s="52"/>
    </row>
    <row r="189">
      <c r="A189" s="52"/>
      <c r="B189" s="52"/>
      <c r="C189" s="50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47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</row>
    <row r="190">
      <c r="A190" s="52"/>
      <c r="B190" s="52"/>
      <c r="C190" s="50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2"/>
      <c r="AS190" s="52"/>
      <c r="AT190" s="52"/>
      <c r="AU190" s="47"/>
      <c r="AV190" s="52"/>
      <c r="AW190" s="52"/>
      <c r="AX190" s="52"/>
      <c r="AY190" s="52"/>
      <c r="AZ190" s="52"/>
      <c r="BA190" s="52"/>
      <c r="BB190" s="52"/>
      <c r="BC190" s="52"/>
      <c r="BD190" s="52"/>
      <c r="BE190" s="52"/>
      <c r="BF190" s="52"/>
      <c r="BG190" s="52"/>
    </row>
    <row r="191">
      <c r="A191" s="52"/>
      <c r="B191" s="52"/>
      <c r="C191" s="50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47"/>
      <c r="AV191" s="52"/>
      <c r="AW191" s="52"/>
      <c r="AX191" s="52"/>
      <c r="AY191" s="52"/>
      <c r="AZ191" s="52"/>
      <c r="BA191" s="52"/>
      <c r="BB191" s="52"/>
      <c r="BC191" s="52"/>
      <c r="BD191" s="52"/>
      <c r="BE191" s="52"/>
      <c r="BF191" s="52"/>
      <c r="BG191" s="52"/>
    </row>
    <row r="192">
      <c r="A192" s="52"/>
      <c r="B192" s="52"/>
      <c r="C192" s="50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2"/>
      <c r="AS192" s="52"/>
      <c r="AT192" s="52"/>
      <c r="AU192" s="47"/>
      <c r="AV192" s="52"/>
      <c r="AW192" s="52"/>
      <c r="AX192" s="52"/>
      <c r="AY192" s="52"/>
      <c r="AZ192" s="52"/>
      <c r="BA192" s="52"/>
      <c r="BB192" s="52"/>
      <c r="BC192" s="52"/>
      <c r="BD192" s="52"/>
      <c r="BE192" s="52"/>
      <c r="BF192" s="52"/>
      <c r="BG192" s="52"/>
    </row>
    <row r="193">
      <c r="A193" s="52"/>
      <c r="B193" s="52"/>
      <c r="C193" s="50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47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/>
      <c r="BF193" s="52"/>
      <c r="BG193" s="52"/>
    </row>
    <row r="194">
      <c r="A194" s="52"/>
      <c r="B194" s="52"/>
      <c r="C194" s="50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47"/>
      <c r="AV194" s="52"/>
      <c r="AW194" s="52"/>
      <c r="AX194" s="52"/>
      <c r="AY194" s="52"/>
      <c r="AZ194" s="52"/>
      <c r="BA194" s="52"/>
      <c r="BB194" s="52"/>
      <c r="BC194" s="52"/>
      <c r="BD194" s="52"/>
      <c r="BE194" s="52"/>
      <c r="BF194" s="52"/>
      <c r="BG194" s="52"/>
    </row>
    <row r="195">
      <c r="A195" s="52"/>
      <c r="B195" s="52"/>
      <c r="C195" s="50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47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</row>
    <row r="196">
      <c r="A196" s="52"/>
      <c r="B196" s="52"/>
      <c r="C196" s="50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47"/>
      <c r="AV196" s="52"/>
      <c r="AW196" s="52"/>
      <c r="AX196" s="52"/>
      <c r="AY196" s="52"/>
      <c r="AZ196" s="52"/>
      <c r="BA196" s="52"/>
      <c r="BB196" s="52"/>
      <c r="BC196" s="52"/>
      <c r="BD196" s="52"/>
      <c r="BE196" s="52"/>
      <c r="BF196" s="52"/>
      <c r="BG196" s="52"/>
    </row>
    <row r="197">
      <c r="A197" s="52"/>
      <c r="B197" s="52"/>
      <c r="C197" s="50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47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</row>
    <row r="198">
      <c r="A198" s="52"/>
      <c r="B198" s="52"/>
      <c r="C198" s="50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  <c r="AU198" s="47"/>
      <c r="AV198" s="52"/>
      <c r="AW198" s="52"/>
      <c r="AX198" s="52"/>
      <c r="AY198" s="52"/>
      <c r="AZ198" s="52"/>
      <c r="BA198" s="52"/>
      <c r="BB198" s="52"/>
      <c r="BC198" s="52"/>
      <c r="BD198" s="52"/>
      <c r="BE198" s="52"/>
      <c r="BF198" s="52"/>
      <c r="BG198" s="52"/>
    </row>
    <row r="199">
      <c r="A199" s="52"/>
      <c r="B199" s="52"/>
      <c r="C199" s="50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47"/>
      <c r="AV199" s="52"/>
      <c r="AW199" s="52"/>
      <c r="AX199" s="52"/>
      <c r="AY199" s="52"/>
      <c r="AZ199" s="52"/>
      <c r="BA199" s="52"/>
      <c r="BB199" s="52"/>
      <c r="BC199" s="52"/>
      <c r="BD199" s="52"/>
      <c r="BE199" s="52"/>
      <c r="BF199" s="52"/>
      <c r="BG199" s="52"/>
    </row>
    <row r="200">
      <c r="A200" s="52"/>
      <c r="B200" s="52"/>
      <c r="C200" s="50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/>
      <c r="AT200" s="52"/>
      <c r="AU200" s="47"/>
      <c r="AV200" s="52"/>
      <c r="AW200" s="52"/>
      <c r="AX200" s="52"/>
      <c r="AY200" s="52"/>
      <c r="AZ200" s="52"/>
      <c r="BA200" s="52"/>
      <c r="BB200" s="52"/>
      <c r="BC200" s="52"/>
      <c r="BD200" s="52"/>
      <c r="BE200" s="52"/>
      <c r="BF200" s="52"/>
      <c r="BG200" s="52"/>
    </row>
    <row r="201">
      <c r="A201" s="52"/>
      <c r="B201" s="52"/>
      <c r="C201" s="50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/>
      <c r="AT201" s="52"/>
      <c r="AU201" s="47"/>
      <c r="AV201" s="52"/>
      <c r="AW201" s="52"/>
      <c r="AX201" s="52"/>
      <c r="AY201" s="52"/>
      <c r="AZ201" s="52"/>
      <c r="BA201" s="52"/>
      <c r="BB201" s="52"/>
      <c r="BC201" s="52"/>
      <c r="BD201" s="52"/>
      <c r="BE201" s="52"/>
      <c r="BF201" s="52"/>
      <c r="BG201" s="52"/>
    </row>
    <row r="202">
      <c r="A202" s="52"/>
      <c r="B202" s="52"/>
      <c r="C202" s="50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/>
      <c r="AT202" s="52"/>
      <c r="AU202" s="47"/>
      <c r="AV202" s="52"/>
      <c r="AW202" s="52"/>
      <c r="AX202" s="52"/>
      <c r="AY202" s="52"/>
      <c r="AZ202" s="52"/>
      <c r="BA202" s="52"/>
      <c r="BB202" s="52"/>
      <c r="BC202" s="52"/>
      <c r="BD202" s="52"/>
      <c r="BE202" s="52"/>
      <c r="BF202" s="52"/>
      <c r="BG202" s="52"/>
    </row>
    <row r="203">
      <c r="A203" s="52"/>
      <c r="B203" s="52"/>
      <c r="C203" s="50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47"/>
      <c r="AV203" s="52"/>
      <c r="AW203" s="52"/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</row>
    <row r="204">
      <c r="A204" s="52"/>
      <c r="B204" s="52"/>
      <c r="C204" s="50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52"/>
      <c r="AS204" s="52"/>
      <c r="AT204" s="52"/>
      <c r="AU204" s="47"/>
      <c r="AV204" s="52"/>
      <c r="AW204" s="52"/>
      <c r="AX204" s="52"/>
      <c r="AY204" s="52"/>
      <c r="AZ204" s="52"/>
      <c r="BA204" s="52"/>
      <c r="BB204" s="52"/>
      <c r="BC204" s="52"/>
      <c r="BD204" s="52"/>
      <c r="BE204" s="52"/>
      <c r="BF204" s="52"/>
      <c r="BG204" s="52"/>
    </row>
    <row r="205">
      <c r="A205" s="52"/>
      <c r="B205" s="52"/>
      <c r="C205" s="50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47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</row>
    <row r="206">
      <c r="A206" s="52"/>
      <c r="B206" s="52"/>
      <c r="C206" s="50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52"/>
      <c r="AS206" s="52"/>
      <c r="AT206" s="52"/>
      <c r="AU206" s="47"/>
      <c r="AV206" s="52"/>
      <c r="AW206" s="52"/>
      <c r="AX206" s="52"/>
      <c r="AY206" s="52"/>
      <c r="AZ206" s="52"/>
      <c r="BA206" s="52"/>
      <c r="BB206" s="52"/>
      <c r="BC206" s="52"/>
      <c r="BD206" s="52"/>
      <c r="BE206" s="52"/>
      <c r="BF206" s="52"/>
      <c r="BG206" s="52"/>
    </row>
    <row r="207">
      <c r="A207" s="52"/>
      <c r="B207" s="52"/>
      <c r="C207" s="50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47"/>
      <c r="AV207" s="52"/>
      <c r="AW207" s="52"/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</row>
    <row r="208">
      <c r="A208" s="52"/>
      <c r="B208" s="52"/>
      <c r="C208" s="50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/>
      <c r="AT208" s="52"/>
      <c r="AU208" s="47"/>
      <c r="AV208" s="52"/>
      <c r="AW208" s="52"/>
      <c r="AX208" s="52"/>
      <c r="AY208" s="52"/>
      <c r="AZ208" s="52"/>
      <c r="BA208" s="52"/>
      <c r="BB208" s="52"/>
      <c r="BC208" s="52"/>
      <c r="BD208" s="52"/>
      <c r="BE208" s="52"/>
      <c r="BF208" s="52"/>
      <c r="BG208" s="52"/>
    </row>
    <row r="209">
      <c r="A209" s="52"/>
      <c r="B209" s="52"/>
      <c r="C209" s="50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2"/>
      <c r="AS209" s="52"/>
      <c r="AT209" s="52"/>
      <c r="AU209" s="47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</row>
    <row r="210">
      <c r="A210" s="52"/>
      <c r="B210" s="52"/>
      <c r="C210" s="50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2"/>
      <c r="AS210" s="52"/>
      <c r="AT210" s="52"/>
      <c r="AU210" s="47"/>
      <c r="AV210" s="52"/>
      <c r="AW210" s="52"/>
      <c r="AX210" s="52"/>
      <c r="AY210" s="52"/>
      <c r="AZ210" s="52"/>
      <c r="BA210" s="52"/>
      <c r="BB210" s="52"/>
      <c r="BC210" s="52"/>
      <c r="BD210" s="52"/>
      <c r="BE210" s="52"/>
      <c r="BF210" s="52"/>
      <c r="BG210" s="52"/>
    </row>
    <row r="211">
      <c r="A211" s="52"/>
      <c r="B211" s="52"/>
      <c r="C211" s="50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47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</row>
    <row r="212">
      <c r="A212" s="52"/>
      <c r="B212" s="52"/>
      <c r="C212" s="50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  <c r="AQ212" s="52"/>
      <c r="AR212" s="52"/>
      <c r="AS212" s="52"/>
      <c r="AT212" s="52"/>
      <c r="AU212" s="47"/>
      <c r="AV212" s="52"/>
      <c r="AW212" s="52"/>
      <c r="AX212" s="52"/>
      <c r="AY212" s="52"/>
      <c r="AZ212" s="52"/>
      <c r="BA212" s="52"/>
      <c r="BB212" s="52"/>
      <c r="BC212" s="52"/>
      <c r="BD212" s="52"/>
      <c r="BE212" s="52"/>
      <c r="BF212" s="52"/>
      <c r="BG212" s="52"/>
    </row>
    <row r="213">
      <c r="A213" s="52"/>
      <c r="B213" s="52"/>
      <c r="C213" s="50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47"/>
      <c r="AV213" s="52"/>
      <c r="AW213" s="52"/>
      <c r="AX213" s="52"/>
      <c r="AY213" s="52"/>
      <c r="AZ213" s="52"/>
      <c r="BA213" s="52"/>
      <c r="BB213" s="52"/>
      <c r="BC213" s="52"/>
      <c r="BD213" s="52"/>
      <c r="BE213" s="52"/>
      <c r="BF213" s="52"/>
      <c r="BG213" s="52"/>
    </row>
    <row r="214">
      <c r="A214" s="52"/>
      <c r="B214" s="52"/>
      <c r="C214" s="50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/>
      <c r="AT214" s="52"/>
      <c r="AU214" s="47"/>
      <c r="AV214" s="52"/>
      <c r="AW214" s="52"/>
      <c r="AX214" s="52"/>
      <c r="AY214" s="52"/>
      <c r="AZ214" s="52"/>
      <c r="BA214" s="52"/>
      <c r="BB214" s="52"/>
      <c r="BC214" s="52"/>
      <c r="BD214" s="52"/>
      <c r="BE214" s="52"/>
      <c r="BF214" s="52"/>
      <c r="BG214" s="52"/>
    </row>
    <row r="215">
      <c r="A215" s="52"/>
      <c r="B215" s="52"/>
      <c r="C215" s="50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/>
      <c r="AT215" s="52"/>
      <c r="AU215" s="47"/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  <c r="BG215" s="52"/>
    </row>
    <row r="216">
      <c r="A216" s="52"/>
      <c r="B216" s="52"/>
      <c r="C216" s="50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  <c r="AQ216" s="52"/>
      <c r="AR216" s="52"/>
      <c r="AS216" s="52"/>
      <c r="AT216" s="52"/>
      <c r="AU216" s="47"/>
      <c r="AV216" s="52"/>
      <c r="AW216" s="52"/>
      <c r="AX216" s="52"/>
      <c r="AY216" s="52"/>
      <c r="AZ216" s="52"/>
      <c r="BA216" s="52"/>
      <c r="BB216" s="52"/>
      <c r="BC216" s="52"/>
      <c r="BD216" s="52"/>
      <c r="BE216" s="52"/>
      <c r="BF216" s="52"/>
      <c r="BG216" s="52"/>
    </row>
    <row r="217">
      <c r="A217" s="52"/>
      <c r="B217" s="52"/>
      <c r="C217" s="50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47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/>
      <c r="BF217" s="52"/>
      <c r="BG217" s="52"/>
    </row>
    <row r="218">
      <c r="A218" s="52"/>
      <c r="B218" s="52"/>
      <c r="C218" s="50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/>
      <c r="AT218" s="52"/>
      <c r="AU218" s="47"/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  <c r="BG218" s="52"/>
    </row>
    <row r="219">
      <c r="A219" s="52"/>
      <c r="B219" s="52"/>
      <c r="C219" s="50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47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</row>
    <row r="220">
      <c r="A220" s="52"/>
      <c r="B220" s="52"/>
      <c r="C220" s="50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  <c r="AQ220" s="52"/>
      <c r="AR220" s="52"/>
      <c r="AS220" s="52"/>
      <c r="AT220" s="52"/>
      <c r="AU220" s="47"/>
      <c r="AV220" s="52"/>
      <c r="AW220" s="52"/>
      <c r="AX220" s="52"/>
      <c r="AY220" s="52"/>
      <c r="AZ220" s="52"/>
      <c r="BA220" s="52"/>
      <c r="BB220" s="52"/>
      <c r="BC220" s="52"/>
      <c r="BD220" s="52"/>
      <c r="BE220" s="52"/>
      <c r="BF220" s="52"/>
      <c r="BG220" s="52"/>
    </row>
    <row r="221">
      <c r="A221" s="52"/>
      <c r="B221" s="52"/>
      <c r="C221" s="50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47"/>
      <c r="AV221" s="52"/>
      <c r="AW221" s="52"/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</row>
    <row r="222">
      <c r="A222" s="52"/>
      <c r="B222" s="52"/>
      <c r="C222" s="50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  <c r="AQ222" s="52"/>
      <c r="AR222" s="52"/>
      <c r="AS222" s="52"/>
      <c r="AT222" s="52"/>
      <c r="AU222" s="47"/>
      <c r="AV222" s="52"/>
      <c r="AW222" s="52"/>
      <c r="AX222" s="52"/>
      <c r="AY222" s="52"/>
      <c r="AZ222" s="52"/>
      <c r="BA222" s="52"/>
      <c r="BB222" s="52"/>
      <c r="BC222" s="52"/>
      <c r="BD222" s="52"/>
      <c r="BE222" s="52"/>
      <c r="BF222" s="52"/>
      <c r="BG222" s="52"/>
    </row>
    <row r="223">
      <c r="A223" s="52"/>
      <c r="B223" s="52"/>
      <c r="C223" s="50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47"/>
      <c r="AV223" s="52"/>
      <c r="AW223" s="52"/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</row>
    <row r="224">
      <c r="A224" s="52"/>
      <c r="B224" s="52"/>
      <c r="C224" s="50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52"/>
      <c r="AS224" s="52"/>
      <c r="AT224" s="52"/>
      <c r="AU224" s="47"/>
      <c r="AV224" s="52"/>
      <c r="AW224" s="52"/>
      <c r="AX224" s="52"/>
      <c r="AY224" s="52"/>
      <c r="AZ224" s="52"/>
      <c r="BA224" s="52"/>
      <c r="BB224" s="52"/>
      <c r="BC224" s="52"/>
      <c r="BD224" s="52"/>
      <c r="BE224" s="52"/>
      <c r="BF224" s="52"/>
      <c r="BG224" s="52"/>
    </row>
    <row r="225">
      <c r="A225" s="52"/>
      <c r="B225" s="52"/>
      <c r="C225" s="50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47"/>
      <c r="AV225" s="52"/>
      <c r="AW225" s="52"/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</row>
    <row r="226">
      <c r="A226" s="52"/>
      <c r="B226" s="52"/>
      <c r="C226" s="50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2"/>
      <c r="AS226" s="52"/>
      <c r="AT226" s="52"/>
      <c r="AU226" s="47"/>
      <c r="AV226" s="52"/>
      <c r="AW226" s="52"/>
      <c r="AX226" s="52"/>
      <c r="AY226" s="52"/>
      <c r="AZ226" s="52"/>
      <c r="BA226" s="52"/>
      <c r="BB226" s="52"/>
      <c r="BC226" s="52"/>
      <c r="BD226" s="52"/>
      <c r="BE226" s="52"/>
      <c r="BF226" s="52"/>
      <c r="BG226" s="52"/>
    </row>
    <row r="227">
      <c r="A227" s="52"/>
      <c r="B227" s="52"/>
      <c r="C227" s="50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47"/>
      <c r="AV227" s="52"/>
      <c r="AW227" s="52"/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</row>
    <row r="228">
      <c r="A228" s="52"/>
      <c r="B228" s="52"/>
      <c r="C228" s="50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47"/>
      <c r="AV228" s="52"/>
      <c r="AW228" s="52"/>
      <c r="AX228" s="52"/>
      <c r="AY228" s="52"/>
      <c r="AZ228" s="52"/>
      <c r="BA228" s="52"/>
      <c r="BB228" s="52"/>
      <c r="BC228" s="52"/>
      <c r="BD228" s="52"/>
      <c r="BE228" s="52"/>
      <c r="BF228" s="52"/>
      <c r="BG228" s="52"/>
    </row>
    <row r="229">
      <c r="A229" s="52"/>
      <c r="B229" s="52"/>
      <c r="C229" s="50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47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</row>
    <row r="230">
      <c r="A230" s="52"/>
      <c r="B230" s="52"/>
      <c r="C230" s="50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47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</row>
    <row r="231">
      <c r="A231" s="52"/>
      <c r="B231" s="52"/>
      <c r="C231" s="50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47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/>
      <c r="BF231" s="52"/>
      <c r="BG231" s="52"/>
    </row>
    <row r="232">
      <c r="A232" s="52"/>
      <c r="B232" s="52"/>
      <c r="C232" s="50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  <c r="AQ232" s="52"/>
      <c r="AR232" s="52"/>
      <c r="AS232" s="52"/>
      <c r="AT232" s="52"/>
      <c r="AU232" s="47"/>
      <c r="AV232" s="52"/>
      <c r="AW232" s="52"/>
      <c r="AX232" s="52"/>
      <c r="AY232" s="52"/>
      <c r="AZ232" s="52"/>
      <c r="BA232" s="52"/>
      <c r="BB232" s="52"/>
      <c r="BC232" s="52"/>
      <c r="BD232" s="52"/>
      <c r="BE232" s="52"/>
      <c r="BF232" s="52"/>
      <c r="BG232" s="52"/>
    </row>
    <row r="233">
      <c r="A233" s="52"/>
      <c r="B233" s="52"/>
      <c r="C233" s="50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  <c r="AQ233" s="52"/>
      <c r="AR233" s="52"/>
      <c r="AS233" s="52"/>
      <c r="AT233" s="52"/>
      <c r="AU233" s="47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/>
      <c r="BG233" s="52"/>
    </row>
    <row r="234">
      <c r="A234" s="52"/>
      <c r="B234" s="52"/>
      <c r="C234" s="50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47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</row>
    <row r="235">
      <c r="A235" s="52"/>
      <c r="B235" s="52"/>
      <c r="C235" s="50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47"/>
      <c r="AV235" s="52"/>
      <c r="AW235" s="52"/>
      <c r="AX235" s="52"/>
      <c r="AY235" s="52"/>
      <c r="AZ235" s="52"/>
      <c r="BA235" s="52"/>
      <c r="BB235" s="52"/>
      <c r="BC235" s="52"/>
      <c r="BD235" s="52"/>
      <c r="BE235" s="52"/>
      <c r="BF235" s="52"/>
      <c r="BG235" s="52"/>
    </row>
    <row r="236">
      <c r="A236" s="52"/>
      <c r="B236" s="52"/>
      <c r="C236" s="50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47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</row>
    <row r="237">
      <c r="A237" s="52"/>
      <c r="B237" s="52"/>
      <c r="C237" s="50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47"/>
      <c r="AV237" s="52"/>
      <c r="AW237" s="52"/>
      <c r="AX237" s="52"/>
      <c r="AY237" s="52"/>
      <c r="AZ237" s="52"/>
      <c r="BA237" s="52"/>
      <c r="BB237" s="52"/>
      <c r="BC237" s="52"/>
      <c r="BD237" s="52"/>
      <c r="BE237" s="52"/>
      <c r="BF237" s="52"/>
      <c r="BG237" s="52"/>
    </row>
    <row r="238">
      <c r="A238" s="52"/>
      <c r="B238" s="52"/>
      <c r="C238" s="50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47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</row>
    <row r="239">
      <c r="A239" s="52"/>
      <c r="B239" s="52"/>
      <c r="C239" s="50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52"/>
      <c r="AQ239" s="52"/>
      <c r="AR239" s="52"/>
      <c r="AS239" s="52"/>
      <c r="AT239" s="52"/>
      <c r="AU239" s="47"/>
      <c r="AV239" s="52"/>
      <c r="AW239" s="52"/>
      <c r="AX239" s="52"/>
      <c r="AY239" s="52"/>
      <c r="AZ239" s="52"/>
      <c r="BA239" s="52"/>
      <c r="BB239" s="52"/>
      <c r="BC239" s="52"/>
      <c r="BD239" s="52"/>
      <c r="BE239" s="52"/>
      <c r="BF239" s="52"/>
      <c r="BG239" s="52"/>
    </row>
    <row r="240">
      <c r="A240" s="52"/>
      <c r="B240" s="52"/>
      <c r="C240" s="50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47"/>
      <c r="AV240" s="52"/>
      <c r="AW240" s="52"/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</row>
    <row r="241">
      <c r="A241" s="52"/>
      <c r="B241" s="52"/>
      <c r="C241" s="50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47"/>
      <c r="AV241" s="52"/>
      <c r="AW241" s="52"/>
      <c r="AX241" s="52"/>
      <c r="AY241" s="52"/>
      <c r="AZ241" s="52"/>
      <c r="BA241" s="52"/>
      <c r="BB241" s="52"/>
      <c r="BC241" s="52"/>
      <c r="BD241" s="52"/>
      <c r="BE241" s="52"/>
      <c r="BF241" s="52"/>
      <c r="BG241" s="52"/>
    </row>
    <row r="242">
      <c r="A242" s="52"/>
      <c r="B242" s="52"/>
      <c r="C242" s="50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47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</row>
    <row r="243">
      <c r="A243" s="52"/>
      <c r="B243" s="52"/>
      <c r="C243" s="50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47"/>
      <c r="AV243" s="52"/>
      <c r="AW243" s="52"/>
      <c r="AX243" s="52"/>
      <c r="AY243" s="52"/>
      <c r="AZ243" s="52"/>
      <c r="BA243" s="52"/>
      <c r="BB243" s="52"/>
      <c r="BC243" s="52"/>
      <c r="BD243" s="52"/>
      <c r="BE243" s="52"/>
      <c r="BF243" s="52"/>
      <c r="BG243" s="52"/>
    </row>
    <row r="244">
      <c r="A244" s="52"/>
      <c r="B244" s="52"/>
      <c r="C244" s="50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47"/>
      <c r="AV244" s="52"/>
      <c r="AW244" s="52"/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</row>
    <row r="245">
      <c r="A245" s="52"/>
      <c r="B245" s="52"/>
      <c r="C245" s="50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47"/>
      <c r="AV245" s="52"/>
      <c r="AW245" s="52"/>
      <c r="AX245" s="52"/>
      <c r="AY245" s="52"/>
      <c r="AZ245" s="52"/>
      <c r="BA245" s="52"/>
      <c r="BB245" s="52"/>
      <c r="BC245" s="52"/>
      <c r="BD245" s="52"/>
      <c r="BE245" s="52"/>
      <c r="BF245" s="52"/>
      <c r="BG245" s="52"/>
    </row>
    <row r="246">
      <c r="A246" s="52"/>
      <c r="B246" s="52"/>
      <c r="C246" s="50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47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</row>
    <row r="247">
      <c r="A247" s="52"/>
      <c r="B247" s="52"/>
      <c r="C247" s="50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47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</row>
    <row r="248">
      <c r="A248" s="52"/>
      <c r="B248" s="52"/>
      <c r="C248" s="50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47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</row>
    <row r="249">
      <c r="A249" s="52"/>
      <c r="B249" s="52"/>
      <c r="C249" s="50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47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</row>
    <row r="250">
      <c r="A250" s="52"/>
      <c r="B250" s="52"/>
      <c r="C250" s="50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47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</row>
    <row r="251">
      <c r="A251" s="52"/>
      <c r="B251" s="52"/>
      <c r="C251" s="50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47"/>
      <c r="AV251" s="52"/>
      <c r="AW251" s="52"/>
      <c r="AX251" s="52"/>
      <c r="AY251" s="52"/>
      <c r="AZ251" s="52"/>
      <c r="BA251" s="52"/>
      <c r="BB251" s="52"/>
      <c r="BC251" s="52"/>
      <c r="BD251" s="52"/>
      <c r="BE251" s="52"/>
      <c r="BF251" s="52"/>
      <c r="BG251" s="52"/>
    </row>
    <row r="252">
      <c r="A252" s="52"/>
      <c r="B252" s="52"/>
      <c r="C252" s="50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47"/>
      <c r="AV252" s="52"/>
      <c r="AW252" s="52"/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</row>
    <row r="253">
      <c r="A253" s="52"/>
      <c r="B253" s="52"/>
      <c r="C253" s="50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47"/>
      <c r="AV253" s="52"/>
      <c r="AW253" s="52"/>
      <c r="AX253" s="52"/>
      <c r="AY253" s="52"/>
      <c r="AZ253" s="52"/>
      <c r="BA253" s="52"/>
      <c r="BB253" s="52"/>
      <c r="BC253" s="52"/>
      <c r="BD253" s="52"/>
      <c r="BE253" s="52"/>
      <c r="BF253" s="52"/>
      <c r="BG253" s="52"/>
    </row>
    <row r="254">
      <c r="A254" s="52"/>
      <c r="B254" s="52"/>
      <c r="C254" s="50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47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</row>
    <row r="255">
      <c r="A255" s="52"/>
      <c r="B255" s="52"/>
      <c r="C255" s="50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47"/>
      <c r="AV255" s="52"/>
      <c r="AW255" s="52"/>
      <c r="AX255" s="52"/>
      <c r="AY255" s="52"/>
      <c r="AZ255" s="52"/>
      <c r="BA255" s="52"/>
      <c r="BB255" s="52"/>
      <c r="BC255" s="52"/>
      <c r="BD255" s="52"/>
      <c r="BE255" s="52"/>
      <c r="BF255" s="52"/>
      <c r="BG255" s="52"/>
    </row>
    <row r="256">
      <c r="A256" s="52"/>
      <c r="B256" s="52"/>
      <c r="C256" s="50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47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</row>
    <row r="257">
      <c r="A257" s="52"/>
      <c r="B257" s="52"/>
      <c r="C257" s="50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47"/>
      <c r="AV257" s="52"/>
      <c r="AW257" s="52"/>
      <c r="AX257" s="52"/>
      <c r="AY257" s="52"/>
      <c r="AZ257" s="52"/>
      <c r="BA257" s="52"/>
      <c r="BB257" s="52"/>
      <c r="BC257" s="52"/>
      <c r="BD257" s="52"/>
      <c r="BE257" s="52"/>
      <c r="BF257" s="52"/>
      <c r="BG257" s="52"/>
    </row>
    <row r="258">
      <c r="A258" s="52"/>
      <c r="B258" s="52"/>
      <c r="C258" s="50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47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</row>
    <row r="259">
      <c r="A259" s="52"/>
      <c r="B259" s="52"/>
      <c r="C259" s="50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47"/>
      <c r="AV259" s="52"/>
      <c r="AW259" s="52"/>
      <c r="AX259" s="52"/>
      <c r="AY259" s="52"/>
      <c r="AZ259" s="52"/>
      <c r="BA259" s="52"/>
      <c r="BB259" s="52"/>
      <c r="BC259" s="52"/>
      <c r="BD259" s="52"/>
      <c r="BE259" s="52"/>
      <c r="BF259" s="52"/>
      <c r="BG259" s="52"/>
    </row>
    <row r="260">
      <c r="A260" s="52"/>
      <c r="B260" s="52"/>
      <c r="C260" s="50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47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</row>
    <row r="261">
      <c r="A261" s="52"/>
      <c r="B261" s="52"/>
      <c r="C261" s="50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47"/>
      <c r="AV261" s="52"/>
      <c r="AW261" s="52"/>
      <c r="AX261" s="52"/>
      <c r="AY261" s="52"/>
      <c r="AZ261" s="52"/>
      <c r="BA261" s="52"/>
      <c r="BB261" s="52"/>
      <c r="BC261" s="52"/>
      <c r="BD261" s="52"/>
      <c r="BE261" s="52"/>
      <c r="BF261" s="52"/>
      <c r="BG261" s="52"/>
    </row>
    <row r="262">
      <c r="A262" s="52"/>
      <c r="B262" s="52"/>
      <c r="C262" s="50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47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</row>
    <row r="263">
      <c r="A263" s="52"/>
      <c r="B263" s="52"/>
      <c r="C263" s="50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47"/>
      <c r="AV263" s="52"/>
      <c r="AW263" s="52"/>
      <c r="AX263" s="52"/>
      <c r="AY263" s="52"/>
      <c r="AZ263" s="52"/>
      <c r="BA263" s="52"/>
      <c r="BB263" s="52"/>
      <c r="BC263" s="52"/>
      <c r="BD263" s="52"/>
      <c r="BE263" s="52"/>
      <c r="BF263" s="52"/>
      <c r="BG263" s="52"/>
    </row>
    <row r="264">
      <c r="A264" s="52"/>
      <c r="B264" s="52"/>
      <c r="C264" s="50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47"/>
      <c r="AV264" s="52"/>
      <c r="AW264" s="52"/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</row>
    <row r="265">
      <c r="A265" s="52"/>
      <c r="B265" s="52"/>
      <c r="C265" s="50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47"/>
      <c r="AV265" s="52"/>
      <c r="AW265" s="52"/>
      <c r="AX265" s="52"/>
      <c r="AY265" s="52"/>
      <c r="AZ265" s="52"/>
      <c r="BA265" s="52"/>
      <c r="BB265" s="52"/>
      <c r="BC265" s="52"/>
      <c r="BD265" s="52"/>
      <c r="BE265" s="52"/>
      <c r="BF265" s="52"/>
      <c r="BG265" s="52"/>
    </row>
    <row r="266">
      <c r="A266" s="52"/>
      <c r="B266" s="52"/>
      <c r="C266" s="50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47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</row>
    <row r="267">
      <c r="A267" s="52"/>
      <c r="B267" s="52"/>
      <c r="C267" s="50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47"/>
      <c r="AV267" s="52"/>
      <c r="AW267" s="52"/>
      <c r="AX267" s="52"/>
      <c r="AY267" s="52"/>
      <c r="AZ267" s="52"/>
      <c r="BA267" s="52"/>
      <c r="BB267" s="52"/>
      <c r="BC267" s="52"/>
      <c r="BD267" s="52"/>
      <c r="BE267" s="52"/>
      <c r="BF267" s="52"/>
      <c r="BG267" s="52"/>
    </row>
    <row r="268">
      <c r="A268" s="52"/>
      <c r="B268" s="52"/>
      <c r="C268" s="50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47"/>
      <c r="AV268" s="52"/>
      <c r="AW268" s="52"/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</row>
    <row r="269">
      <c r="A269" s="52"/>
      <c r="B269" s="52"/>
      <c r="C269" s="50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47"/>
      <c r="AV269" s="52"/>
      <c r="AW269" s="52"/>
      <c r="AX269" s="52"/>
      <c r="AY269" s="52"/>
      <c r="AZ269" s="52"/>
      <c r="BA269" s="52"/>
      <c r="BB269" s="52"/>
      <c r="BC269" s="52"/>
      <c r="BD269" s="52"/>
      <c r="BE269" s="52"/>
      <c r="BF269" s="52"/>
      <c r="BG269" s="52"/>
    </row>
    <row r="270">
      <c r="A270" s="52"/>
      <c r="B270" s="52"/>
      <c r="C270" s="50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47"/>
      <c r="AV270" s="52"/>
      <c r="AW270" s="52"/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</row>
    <row r="271">
      <c r="A271" s="52"/>
      <c r="B271" s="52"/>
      <c r="C271" s="50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47"/>
      <c r="AV271" s="52"/>
      <c r="AW271" s="52"/>
      <c r="AX271" s="52"/>
      <c r="AY271" s="52"/>
      <c r="AZ271" s="52"/>
      <c r="BA271" s="52"/>
      <c r="BB271" s="52"/>
      <c r="BC271" s="52"/>
      <c r="BD271" s="52"/>
      <c r="BE271" s="52"/>
      <c r="BF271" s="52"/>
      <c r="BG271" s="52"/>
    </row>
    <row r="272">
      <c r="A272" s="52"/>
      <c r="B272" s="52"/>
      <c r="C272" s="50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47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</row>
    <row r="273">
      <c r="A273" s="52"/>
      <c r="B273" s="52"/>
      <c r="C273" s="50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47"/>
      <c r="AV273" s="52"/>
      <c r="AW273" s="52"/>
      <c r="AX273" s="52"/>
      <c r="AY273" s="52"/>
      <c r="AZ273" s="52"/>
      <c r="BA273" s="52"/>
      <c r="BB273" s="52"/>
      <c r="BC273" s="52"/>
      <c r="BD273" s="52"/>
      <c r="BE273" s="52"/>
      <c r="BF273" s="52"/>
      <c r="BG273" s="52"/>
    </row>
    <row r="274">
      <c r="A274" s="52"/>
      <c r="B274" s="52"/>
      <c r="C274" s="50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47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/>
      <c r="BF274" s="52"/>
      <c r="BG274" s="52"/>
    </row>
    <row r="275">
      <c r="A275" s="52"/>
      <c r="B275" s="52"/>
      <c r="C275" s="50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47"/>
      <c r="AV275" s="52"/>
      <c r="AW275" s="52"/>
      <c r="AX275" s="52"/>
      <c r="AY275" s="52"/>
      <c r="AZ275" s="52"/>
      <c r="BA275" s="52"/>
      <c r="BB275" s="52"/>
      <c r="BC275" s="52"/>
      <c r="BD275" s="52"/>
      <c r="BE275" s="52"/>
      <c r="BF275" s="52"/>
      <c r="BG275" s="52"/>
    </row>
    <row r="276">
      <c r="A276" s="52"/>
      <c r="B276" s="52"/>
      <c r="C276" s="50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47"/>
      <c r="AV276" s="52"/>
      <c r="AW276" s="52"/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</row>
    <row r="277">
      <c r="A277" s="52"/>
      <c r="B277" s="52"/>
      <c r="C277" s="50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47"/>
      <c r="AV277" s="52"/>
      <c r="AW277" s="52"/>
      <c r="AX277" s="52"/>
      <c r="AY277" s="52"/>
      <c r="AZ277" s="52"/>
      <c r="BA277" s="52"/>
      <c r="BB277" s="52"/>
      <c r="BC277" s="52"/>
      <c r="BD277" s="52"/>
      <c r="BE277" s="52"/>
      <c r="BF277" s="52"/>
      <c r="BG277" s="52"/>
    </row>
    <row r="278">
      <c r="A278" s="52"/>
      <c r="B278" s="52"/>
      <c r="C278" s="50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47"/>
      <c r="AV278" s="52"/>
      <c r="AW278" s="52"/>
      <c r="AX278" s="52"/>
      <c r="AY278" s="52"/>
      <c r="AZ278" s="52"/>
      <c r="BA278" s="52"/>
      <c r="BB278" s="52"/>
      <c r="BC278" s="52"/>
      <c r="BD278" s="52"/>
      <c r="BE278" s="52"/>
      <c r="BF278" s="52"/>
      <c r="BG278" s="52"/>
    </row>
    <row r="279">
      <c r="A279" s="52"/>
      <c r="B279" s="52"/>
      <c r="C279" s="50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47"/>
      <c r="AV279" s="52"/>
      <c r="AW279" s="52"/>
      <c r="AX279" s="52"/>
      <c r="AY279" s="52"/>
      <c r="AZ279" s="52"/>
      <c r="BA279" s="52"/>
      <c r="BB279" s="52"/>
      <c r="BC279" s="52"/>
      <c r="BD279" s="52"/>
      <c r="BE279" s="52"/>
      <c r="BF279" s="52"/>
      <c r="BG279" s="52"/>
    </row>
    <row r="280">
      <c r="A280" s="52"/>
      <c r="B280" s="52"/>
      <c r="C280" s="50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47"/>
      <c r="AV280" s="52"/>
      <c r="AW280" s="52"/>
      <c r="AX280" s="52"/>
      <c r="AY280" s="52"/>
      <c r="AZ280" s="52"/>
      <c r="BA280" s="52"/>
      <c r="BB280" s="52"/>
      <c r="BC280" s="52"/>
      <c r="BD280" s="52"/>
      <c r="BE280" s="52"/>
      <c r="BF280" s="52"/>
      <c r="BG280" s="52"/>
    </row>
    <row r="281">
      <c r="A281" s="52"/>
      <c r="B281" s="52"/>
      <c r="C281" s="50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47"/>
      <c r="AV281" s="52"/>
      <c r="AW281" s="52"/>
      <c r="AX281" s="52"/>
      <c r="AY281" s="52"/>
      <c r="AZ281" s="52"/>
      <c r="BA281" s="52"/>
      <c r="BB281" s="52"/>
      <c r="BC281" s="52"/>
      <c r="BD281" s="52"/>
      <c r="BE281" s="52"/>
      <c r="BF281" s="52"/>
      <c r="BG281" s="52"/>
    </row>
    <row r="282">
      <c r="A282" s="52"/>
      <c r="B282" s="52"/>
      <c r="C282" s="50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47"/>
      <c r="AV282" s="52"/>
      <c r="AW282" s="52"/>
      <c r="AX282" s="52"/>
      <c r="AY282" s="52"/>
      <c r="AZ282" s="52"/>
      <c r="BA282" s="52"/>
      <c r="BB282" s="52"/>
      <c r="BC282" s="52"/>
      <c r="BD282" s="52"/>
      <c r="BE282" s="52"/>
      <c r="BF282" s="52"/>
      <c r="BG282" s="52"/>
    </row>
    <row r="283">
      <c r="A283" s="52"/>
      <c r="B283" s="52"/>
      <c r="C283" s="50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47"/>
      <c r="AV283" s="52"/>
      <c r="AW283" s="52"/>
      <c r="AX283" s="52"/>
      <c r="AY283" s="52"/>
      <c r="AZ283" s="52"/>
      <c r="BA283" s="52"/>
      <c r="BB283" s="52"/>
      <c r="BC283" s="52"/>
      <c r="BD283" s="52"/>
      <c r="BE283" s="52"/>
      <c r="BF283" s="52"/>
      <c r="BG283" s="52"/>
    </row>
    <row r="284">
      <c r="A284" s="52"/>
      <c r="B284" s="52"/>
      <c r="C284" s="50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47"/>
      <c r="AV284" s="52"/>
      <c r="AW284" s="52"/>
      <c r="AX284" s="52"/>
      <c r="AY284" s="52"/>
      <c r="AZ284" s="52"/>
      <c r="BA284" s="52"/>
      <c r="BB284" s="52"/>
      <c r="BC284" s="52"/>
      <c r="BD284" s="52"/>
      <c r="BE284" s="52"/>
      <c r="BF284" s="52"/>
      <c r="BG284" s="52"/>
    </row>
    <row r="285">
      <c r="A285" s="52"/>
      <c r="B285" s="52"/>
      <c r="C285" s="50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47"/>
      <c r="AV285" s="52"/>
      <c r="AW285" s="52"/>
      <c r="AX285" s="52"/>
      <c r="AY285" s="52"/>
      <c r="AZ285" s="52"/>
      <c r="BA285" s="52"/>
      <c r="BB285" s="52"/>
      <c r="BC285" s="52"/>
      <c r="BD285" s="52"/>
      <c r="BE285" s="52"/>
      <c r="BF285" s="52"/>
      <c r="BG285" s="52"/>
    </row>
    <row r="286">
      <c r="A286" s="52"/>
      <c r="B286" s="52"/>
      <c r="C286" s="50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47"/>
      <c r="AV286" s="52"/>
      <c r="AW286" s="52"/>
      <c r="AX286" s="52"/>
      <c r="AY286" s="52"/>
      <c r="AZ286" s="52"/>
      <c r="BA286" s="52"/>
      <c r="BB286" s="52"/>
      <c r="BC286" s="52"/>
      <c r="BD286" s="52"/>
      <c r="BE286" s="52"/>
      <c r="BF286" s="52"/>
      <c r="BG286" s="52"/>
    </row>
    <row r="287">
      <c r="A287" s="52"/>
      <c r="B287" s="52"/>
      <c r="C287" s="50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47"/>
      <c r="AV287" s="52"/>
      <c r="AW287" s="52"/>
      <c r="AX287" s="52"/>
      <c r="AY287" s="52"/>
      <c r="AZ287" s="52"/>
      <c r="BA287" s="52"/>
      <c r="BB287" s="52"/>
      <c r="BC287" s="52"/>
      <c r="BD287" s="52"/>
      <c r="BE287" s="52"/>
      <c r="BF287" s="52"/>
      <c r="BG287" s="52"/>
    </row>
    <row r="288">
      <c r="A288" s="52"/>
      <c r="B288" s="52"/>
      <c r="C288" s="50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47"/>
      <c r="AV288" s="52"/>
      <c r="AW288" s="52"/>
      <c r="AX288" s="52"/>
      <c r="AY288" s="52"/>
      <c r="AZ288" s="52"/>
      <c r="BA288" s="52"/>
      <c r="BB288" s="52"/>
      <c r="BC288" s="52"/>
      <c r="BD288" s="52"/>
      <c r="BE288" s="52"/>
      <c r="BF288" s="52"/>
      <c r="BG288" s="52"/>
    </row>
    <row r="289">
      <c r="A289" s="52"/>
      <c r="B289" s="52"/>
      <c r="C289" s="50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47"/>
      <c r="AV289" s="52"/>
      <c r="AW289" s="52"/>
      <c r="AX289" s="52"/>
      <c r="AY289" s="52"/>
      <c r="AZ289" s="52"/>
      <c r="BA289" s="52"/>
      <c r="BB289" s="52"/>
      <c r="BC289" s="52"/>
      <c r="BD289" s="52"/>
      <c r="BE289" s="52"/>
      <c r="BF289" s="52"/>
      <c r="BG289" s="52"/>
    </row>
    <row r="290">
      <c r="A290" s="52"/>
      <c r="B290" s="52"/>
      <c r="C290" s="50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47"/>
      <c r="AV290" s="52"/>
      <c r="AW290" s="52"/>
      <c r="AX290" s="52"/>
      <c r="AY290" s="52"/>
      <c r="AZ290" s="52"/>
      <c r="BA290" s="52"/>
      <c r="BB290" s="52"/>
      <c r="BC290" s="52"/>
      <c r="BD290" s="52"/>
      <c r="BE290" s="52"/>
      <c r="BF290" s="52"/>
      <c r="BG290" s="52"/>
    </row>
    <row r="291">
      <c r="A291" s="52"/>
      <c r="B291" s="52"/>
      <c r="C291" s="50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47"/>
      <c r="AV291" s="52"/>
      <c r="AW291" s="52"/>
      <c r="AX291" s="52"/>
      <c r="AY291" s="52"/>
      <c r="AZ291" s="52"/>
      <c r="BA291" s="52"/>
      <c r="BB291" s="52"/>
      <c r="BC291" s="52"/>
      <c r="BD291" s="52"/>
      <c r="BE291" s="52"/>
      <c r="BF291" s="52"/>
      <c r="BG291" s="52"/>
    </row>
    <row r="292">
      <c r="A292" s="52"/>
      <c r="B292" s="52"/>
      <c r="C292" s="50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47"/>
      <c r="AV292" s="52"/>
      <c r="AW292" s="52"/>
      <c r="AX292" s="52"/>
      <c r="AY292" s="52"/>
      <c r="AZ292" s="52"/>
      <c r="BA292" s="52"/>
      <c r="BB292" s="52"/>
      <c r="BC292" s="52"/>
      <c r="BD292" s="52"/>
      <c r="BE292" s="52"/>
      <c r="BF292" s="52"/>
      <c r="BG292" s="52"/>
    </row>
    <row r="293">
      <c r="A293" s="52"/>
      <c r="B293" s="52"/>
      <c r="C293" s="50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47"/>
      <c r="AV293" s="52"/>
      <c r="AW293" s="52"/>
      <c r="AX293" s="52"/>
      <c r="AY293" s="52"/>
      <c r="AZ293" s="52"/>
      <c r="BA293" s="52"/>
      <c r="BB293" s="52"/>
      <c r="BC293" s="52"/>
      <c r="BD293" s="52"/>
      <c r="BE293" s="52"/>
      <c r="BF293" s="52"/>
      <c r="BG293" s="52"/>
    </row>
    <row r="294">
      <c r="A294" s="52"/>
      <c r="B294" s="52"/>
      <c r="C294" s="50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47"/>
      <c r="AV294" s="52"/>
      <c r="AW294" s="52"/>
      <c r="AX294" s="52"/>
      <c r="AY294" s="52"/>
      <c r="AZ294" s="52"/>
      <c r="BA294" s="52"/>
      <c r="BB294" s="52"/>
      <c r="BC294" s="52"/>
      <c r="BD294" s="52"/>
      <c r="BE294" s="52"/>
      <c r="BF294" s="52"/>
      <c r="BG294" s="52"/>
    </row>
    <row r="295">
      <c r="A295" s="52"/>
      <c r="B295" s="52"/>
      <c r="C295" s="50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47"/>
      <c r="AV295" s="52"/>
      <c r="AW295" s="52"/>
      <c r="AX295" s="52"/>
      <c r="AY295" s="52"/>
      <c r="AZ295" s="52"/>
      <c r="BA295" s="52"/>
      <c r="BB295" s="52"/>
      <c r="BC295" s="52"/>
      <c r="BD295" s="52"/>
      <c r="BE295" s="52"/>
      <c r="BF295" s="52"/>
      <c r="BG295" s="52"/>
    </row>
    <row r="296">
      <c r="A296" s="52"/>
      <c r="B296" s="52"/>
      <c r="C296" s="50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47"/>
      <c r="AV296" s="52"/>
      <c r="AW296" s="52"/>
      <c r="AX296" s="52"/>
      <c r="AY296" s="52"/>
      <c r="AZ296" s="52"/>
      <c r="BA296" s="52"/>
      <c r="BB296" s="52"/>
      <c r="BC296" s="52"/>
      <c r="BD296" s="52"/>
      <c r="BE296" s="52"/>
      <c r="BF296" s="52"/>
      <c r="BG296" s="52"/>
    </row>
    <row r="297">
      <c r="A297" s="52"/>
      <c r="B297" s="52"/>
      <c r="C297" s="50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47"/>
      <c r="AV297" s="52"/>
      <c r="AW297" s="52"/>
      <c r="AX297" s="52"/>
      <c r="AY297" s="52"/>
      <c r="AZ297" s="52"/>
      <c r="BA297" s="52"/>
      <c r="BB297" s="52"/>
      <c r="BC297" s="52"/>
      <c r="BD297" s="52"/>
      <c r="BE297" s="52"/>
      <c r="BF297" s="52"/>
      <c r="BG297" s="52"/>
    </row>
    <row r="298">
      <c r="A298" s="52"/>
      <c r="B298" s="52"/>
      <c r="C298" s="50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47"/>
      <c r="AV298" s="52"/>
      <c r="AW298" s="52"/>
      <c r="AX298" s="52"/>
      <c r="AY298" s="52"/>
      <c r="AZ298" s="52"/>
      <c r="BA298" s="52"/>
      <c r="BB298" s="52"/>
      <c r="BC298" s="52"/>
      <c r="BD298" s="52"/>
      <c r="BE298" s="52"/>
      <c r="BF298" s="52"/>
      <c r="BG298" s="52"/>
    </row>
    <row r="299">
      <c r="A299" s="52"/>
      <c r="B299" s="52"/>
      <c r="C299" s="50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47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</row>
    <row r="300">
      <c r="A300" s="52"/>
      <c r="B300" s="52"/>
      <c r="C300" s="50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47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</row>
    <row r="301">
      <c r="A301" s="52"/>
      <c r="B301" s="52"/>
      <c r="C301" s="50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47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</row>
    <row r="302">
      <c r="A302" s="52"/>
      <c r="B302" s="52"/>
      <c r="C302" s="50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47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</row>
    <row r="303">
      <c r="A303" s="52"/>
      <c r="B303" s="52"/>
      <c r="C303" s="50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47"/>
      <c r="AV303" s="52"/>
      <c r="AW303" s="52"/>
      <c r="AX303" s="52"/>
      <c r="AY303" s="52"/>
      <c r="AZ303" s="52"/>
      <c r="BA303" s="52"/>
      <c r="BB303" s="52"/>
      <c r="BC303" s="52"/>
      <c r="BD303" s="52"/>
      <c r="BE303" s="52"/>
      <c r="BF303" s="52"/>
      <c r="BG303" s="52"/>
    </row>
    <row r="304">
      <c r="A304" s="52"/>
      <c r="B304" s="52"/>
      <c r="C304" s="50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47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</row>
    <row r="305">
      <c r="A305" s="52"/>
      <c r="B305" s="52"/>
      <c r="C305" s="50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47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</row>
    <row r="306">
      <c r="A306" s="52"/>
      <c r="B306" s="52"/>
      <c r="C306" s="50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47"/>
      <c r="AV306" s="52"/>
      <c r="AW306" s="52"/>
      <c r="AX306" s="52"/>
      <c r="AY306" s="52"/>
      <c r="AZ306" s="52"/>
      <c r="BA306" s="52"/>
      <c r="BB306" s="52"/>
      <c r="BC306" s="52"/>
      <c r="BD306" s="52"/>
      <c r="BE306" s="52"/>
      <c r="BF306" s="52"/>
      <c r="BG306" s="52"/>
    </row>
    <row r="307">
      <c r="A307" s="52"/>
      <c r="B307" s="52"/>
      <c r="C307" s="50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47"/>
      <c r="AV307" s="52"/>
      <c r="AW307" s="52"/>
      <c r="AX307" s="52"/>
      <c r="AY307" s="52"/>
      <c r="AZ307" s="52"/>
      <c r="BA307" s="52"/>
      <c r="BB307" s="52"/>
      <c r="BC307" s="52"/>
      <c r="BD307" s="52"/>
      <c r="BE307" s="52"/>
      <c r="BF307" s="52"/>
      <c r="BG307" s="52"/>
    </row>
    <row r="308">
      <c r="A308" s="52"/>
      <c r="B308" s="52"/>
      <c r="C308" s="50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47"/>
      <c r="AV308" s="52"/>
      <c r="AW308" s="52"/>
      <c r="AX308" s="52"/>
      <c r="AY308" s="52"/>
      <c r="AZ308" s="52"/>
      <c r="BA308" s="52"/>
      <c r="BB308" s="52"/>
      <c r="BC308" s="52"/>
      <c r="BD308" s="52"/>
      <c r="BE308" s="52"/>
      <c r="BF308" s="52"/>
      <c r="BG308" s="52"/>
    </row>
    <row r="309">
      <c r="A309" s="52"/>
      <c r="B309" s="52"/>
      <c r="C309" s="50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47"/>
      <c r="AV309" s="52"/>
      <c r="AW309" s="52"/>
      <c r="AX309" s="52"/>
      <c r="AY309" s="52"/>
      <c r="AZ309" s="52"/>
      <c r="BA309" s="52"/>
      <c r="BB309" s="52"/>
      <c r="BC309" s="52"/>
      <c r="BD309" s="52"/>
      <c r="BE309" s="52"/>
      <c r="BF309" s="52"/>
      <c r="BG309" s="52"/>
    </row>
    <row r="310">
      <c r="A310" s="52"/>
      <c r="B310" s="52"/>
      <c r="C310" s="50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47"/>
      <c r="AV310" s="52"/>
      <c r="AW310" s="52"/>
      <c r="AX310" s="52"/>
      <c r="AY310" s="52"/>
      <c r="AZ310" s="52"/>
      <c r="BA310" s="52"/>
      <c r="BB310" s="52"/>
      <c r="BC310" s="52"/>
      <c r="BD310" s="52"/>
      <c r="BE310" s="52"/>
      <c r="BF310" s="52"/>
      <c r="BG310" s="52"/>
    </row>
    <row r="311">
      <c r="A311" s="52"/>
      <c r="B311" s="52"/>
      <c r="C311" s="50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47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</row>
    <row r="312">
      <c r="A312" s="52"/>
      <c r="B312" s="52"/>
      <c r="C312" s="50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47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</row>
    <row r="313">
      <c r="A313" s="52"/>
      <c r="B313" s="52"/>
      <c r="C313" s="50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47"/>
      <c r="AV313" s="52"/>
      <c r="AW313" s="52"/>
      <c r="AX313" s="52"/>
      <c r="AY313" s="52"/>
      <c r="AZ313" s="52"/>
      <c r="BA313" s="52"/>
      <c r="BB313" s="52"/>
      <c r="BC313" s="52"/>
      <c r="BD313" s="52"/>
      <c r="BE313" s="52"/>
      <c r="BF313" s="52"/>
      <c r="BG313" s="52"/>
    </row>
    <row r="314">
      <c r="A314" s="52"/>
      <c r="B314" s="52"/>
      <c r="C314" s="50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47"/>
      <c r="AV314" s="52"/>
      <c r="AW314" s="52"/>
      <c r="AX314" s="52"/>
      <c r="AY314" s="52"/>
      <c r="AZ314" s="52"/>
      <c r="BA314" s="52"/>
      <c r="BB314" s="52"/>
      <c r="BC314" s="52"/>
      <c r="BD314" s="52"/>
      <c r="BE314" s="52"/>
      <c r="BF314" s="52"/>
      <c r="BG314" s="52"/>
    </row>
    <row r="315">
      <c r="A315" s="52"/>
      <c r="B315" s="52"/>
      <c r="C315" s="50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47"/>
      <c r="AV315" s="52"/>
      <c r="AW315" s="52"/>
      <c r="AX315" s="52"/>
      <c r="AY315" s="52"/>
      <c r="AZ315" s="52"/>
      <c r="BA315" s="52"/>
      <c r="BB315" s="52"/>
      <c r="BC315" s="52"/>
      <c r="BD315" s="52"/>
      <c r="BE315" s="52"/>
      <c r="BF315" s="52"/>
      <c r="BG315" s="52"/>
    </row>
    <row r="316">
      <c r="A316" s="52"/>
      <c r="B316" s="52"/>
      <c r="C316" s="50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47"/>
      <c r="AV316" s="52"/>
      <c r="AW316" s="52"/>
      <c r="AX316" s="52"/>
      <c r="AY316" s="52"/>
      <c r="AZ316" s="52"/>
      <c r="BA316" s="52"/>
      <c r="BB316" s="52"/>
      <c r="BC316" s="52"/>
      <c r="BD316" s="52"/>
      <c r="BE316" s="52"/>
      <c r="BF316" s="52"/>
      <c r="BG316" s="52"/>
    </row>
    <row r="317">
      <c r="A317" s="52"/>
      <c r="B317" s="52"/>
      <c r="C317" s="50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47"/>
      <c r="AV317" s="52"/>
      <c r="AW317" s="52"/>
      <c r="AX317" s="52"/>
      <c r="AY317" s="52"/>
      <c r="AZ317" s="52"/>
      <c r="BA317" s="52"/>
      <c r="BB317" s="52"/>
      <c r="BC317" s="52"/>
      <c r="BD317" s="52"/>
      <c r="BE317" s="52"/>
      <c r="BF317" s="52"/>
      <c r="BG317" s="52"/>
    </row>
    <row r="318">
      <c r="A318" s="52"/>
      <c r="B318" s="52"/>
      <c r="C318" s="50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47"/>
      <c r="AV318" s="52"/>
      <c r="AW318" s="52"/>
      <c r="AX318" s="52"/>
      <c r="AY318" s="52"/>
      <c r="AZ318" s="52"/>
      <c r="BA318" s="52"/>
      <c r="BB318" s="52"/>
      <c r="BC318" s="52"/>
      <c r="BD318" s="52"/>
      <c r="BE318" s="52"/>
      <c r="BF318" s="52"/>
      <c r="BG318" s="52"/>
    </row>
    <row r="319">
      <c r="A319" s="52"/>
      <c r="B319" s="52"/>
      <c r="C319" s="50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47"/>
      <c r="AV319" s="52"/>
      <c r="AW319" s="52"/>
      <c r="AX319" s="52"/>
      <c r="AY319" s="52"/>
      <c r="AZ319" s="52"/>
      <c r="BA319" s="52"/>
      <c r="BB319" s="52"/>
      <c r="BC319" s="52"/>
      <c r="BD319" s="52"/>
      <c r="BE319" s="52"/>
      <c r="BF319" s="52"/>
      <c r="BG319" s="52"/>
    </row>
    <row r="320">
      <c r="A320" s="52"/>
      <c r="B320" s="52"/>
      <c r="C320" s="50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47"/>
      <c r="AV320" s="52"/>
      <c r="AW320" s="52"/>
      <c r="AX320" s="52"/>
      <c r="AY320" s="52"/>
      <c r="AZ320" s="52"/>
      <c r="BA320" s="52"/>
      <c r="BB320" s="52"/>
      <c r="BC320" s="52"/>
      <c r="BD320" s="52"/>
      <c r="BE320" s="52"/>
      <c r="BF320" s="52"/>
      <c r="BG320" s="52"/>
    </row>
    <row r="321">
      <c r="A321" s="52"/>
      <c r="B321" s="52"/>
      <c r="C321" s="50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47"/>
      <c r="AV321" s="52"/>
      <c r="AW321" s="52"/>
      <c r="AX321" s="52"/>
      <c r="AY321" s="52"/>
      <c r="AZ321" s="52"/>
      <c r="BA321" s="52"/>
      <c r="BB321" s="52"/>
      <c r="BC321" s="52"/>
      <c r="BD321" s="52"/>
      <c r="BE321" s="52"/>
      <c r="BF321" s="52"/>
      <c r="BG321" s="52"/>
    </row>
    <row r="322">
      <c r="A322" s="52"/>
      <c r="B322" s="52"/>
      <c r="C322" s="50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47"/>
      <c r="AV322" s="52"/>
      <c r="AW322" s="52"/>
      <c r="AX322" s="52"/>
      <c r="AY322" s="52"/>
      <c r="AZ322" s="52"/>
      <c r="BA322" s="52"/>
      <c r="BB322" s="52"/>
      <c r="BC322" s="52"/>
      <c r="BD322" s="52"/>
      <c r="BE322" s="52"/>
      <c r="BF322" s="52"/>
      <c r="BG322" s="52"/>
    </row>
    <row r="323">
      <c r="A323" s="52"/>
      <c r="B323" s="52"/>
      <c r="C323" s="50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47"/>
      <c r="AV323" s="52"/>
      <c r="AW323" s="52"/>
      <c r="AX323" s="52"/>
      <c r="AY323" s="52"/>
      <c r="AZ323" s="52"/>
      <c r="BA323" s="52"/>
      <c r="BB323" s="52"/>
      <c r="BC323" s="52"/>
      <c r="BD323" s="52"/>
      <c r="BE323" s="52"/>
      <c r="BF323" s="52"/>
      <c r="BG323" s="52"/>
    </row>
    <row r="324">
      <c r="A324" s="52"/>
      <c r="B324" s="52"/>
      <c r="C324" s="50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47"/>
      <c r="AV324" s="52"/>
      <c r="AW324" s="52"/>
      <c r="AX324" s="52"/>
      <c r="AY324" s="52"/>
      <c r="AZ324" s="52"/>
      <c r="BA324" s="52"/>
      <c r="BB324" s="52"/>
      <c r="BC324" s="52"/>
      <c r="BD324" s="52"/>
      <c r="BE324" s="52"/>
      <c r="BF324" s="52"/>
      <c r="BG324" s="52"/>
    </row>
    <row r="325">
      <c r="A325" s="52"/>
      <c r="B325" s="52"/>
      <c r="C325" s="50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47"/>
      <c r="AV325" s="52"/>
      <c r="AW325" s="52"/>
      <c r="AX325" s="52"/>
      <c r="AY325" s="52"/>
      <c r="AZ325" s="52"/>
      <c r="BA325" s="52"/>
      <c r="BB325" s="52"/>
      <c r="BC325" s="52"/>
      <c r="BD325" s="52"/>
      <c r="BE325" s="52"/>
      <c r="BF325" s="52"/>
      <c r="BG325" s="52"/>
    </row>
    <row r="326">
      <c r="A326" s="52"/>
      <c r="B326" s="52"/>
      <c r="C326" s="50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47"/>
      <c r="AV326" s="52"/>
      <c r="AW326" s="52"/>
      <c r="AX326" s="52"/>
      <c r="AY326" s="52"/>
      <c r="AZ326" s="52"/>
      <c r="BA326" s="52"/>
      <c r="BB326" s="52"/>
      <c r="BC326" s="52"/>
      <c r="BD326" s="52"/>
      <c r="BE326" s="52"/>
      <c r="BF326" s="52"/>
      <c r="BG326" s="52"/>
    </row>
    <row r="327">
      <c r="A327" s="52"/>
      <c r="B327" s="52"/>
      <c r="C327" s="50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47"/>
      <c r="AV327" s="52"/>
      <c r="AW327" s="52"/>
      <c r="AX327" s="52"/>
      <c r="AY327" s="52"/>
      <c r="AZ327" s="52"/>
      <c r="BA327" s="52"/>
      <c r="BB327" s="52"/>
      <c r="BC327" s="52"/>
      <c r="BD327" s="52"/>
      <c r="BE327" s="52"/>
      <c r="BF327" s="52"/>
      <c r="BG327" s="52"/>
    </row>
    <row r="328">
      <c r="A328" s="52"/>
      <c r="B328" s="52"/>
      <c r="C328" s="50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47"/>
      <c r="AV328" s="52"/>
      <c r="AW328" s="52"/>
      <c r="AX328" s="52"/>
      <c r="AY328" s="52"/>
      <c r="AZ328" s="52"/>
      <c r="BA328" s="52"/>
      <c r="BB328" s="52"/>
      <c r="BC328" s="52"/>
      <c r="BD328" s="52"/>
      <c r="BE328" s="52"/>
      <c r="BF328" s="52"/>
      <c r="BG328" s="52"/>
    </row>
    <row r="329">
      <c r="A329" s="52"/>
      <c r="B329" s="52"/>
      <c r="C329" s="50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47"/>
      <c r="AV329" s="52"/>
      <c r="AW329" s="52"/>
      <c r="AX329" s="52"/>
      <c r="AY329" s="52"/>
      <c r="AZ329" s="52"/>
      <c r="BA329" s="52"/>
      <c r="BB329" s="52"/>
      <c r="BC329" s="52"/>
      <c r="BD329" s="52"/>
      <c r="BE329" s="52"/>
      <c r="BF329" s="52"/>
      <c r="BG329" s="52"/>
    </row>
    <row r="330">
      <c r="A330" s="52"/>
      <c r="B330" s="52"/>
      <c r="C330" s="50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47"/>
      <c r="AV330" s="52"/>
      <c r="AW330" s="52"/>
      <c r="AX330" s="52"/>
      <c r="AY330" s="52"/>
      <c r="AZ330" s="52"/>
      <c r="BA330" s="52"/>
      <c r="BB330" s="52"/>
      <c r="BC330" s="52"/>
      <c r="BD330" s="52"/>
      <c r="BE330" s="52"/>
      <c r="BF330" s="52"/>
      <c r="BG330" s="52"/>
    </row>
    <row r="331">
      <c r="A331" s="52"/>
      <c r="B331" s="52"/>
      <c r="C331" s="50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47"/>
      <c r="AV331" s="52"/>
      <c r="AW331" s="52"/>
      <c r="AX331" s="52"/>
      <c r="AY331" s="52"/>
      <c r="AZ331" s="52"/>
      <c r="BA331" s="52"/>
      <c r="BB331" s="52"/>
      <c r="BC331" s="52"/>
      <c r="BD331" s="52"/>
      <c r="BE331" s="52"/>
      <c r="BF331" s="52"/>
      <c r="BG331" s="52"/>
    </row>
    <row r="332">
      <c r="A332" s="52"/>
      <c r="B332" s="52"/>
      <c r="C332" s="50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47"/>
      <c r="AV332" s="52"/>
      <c r="AW332" s="52"/>
      <c r="AX332" s="52"/>
      <c r="AY332" s="52"/>
      <c r="AZ332" s="52"/>
      <c r="BA332" s="52"/>
      <c r="BB332" s="52"/>
      <c r="BC332" s="52"/>
      <c r="BD332" s="52"/>
      <c r="BE332" s="52"/>
      <c r="BF332" s="52"/>
      <c r="BG332" s="52"/>
    </row>
    <row r="333">
      <c r="A333" s="52"/>
      <c r="B333" s="52"/>
      <c r="C333" s="50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47"/>
      <c r="AV333" s="52"/>
      <c r="AW333" s="52"/>
      <c r="AX333" s="52"/>
      <c r="AY333" s="52"/>
      <c r="AZ333" s="52"/>
      <c r="BA333" s="52"/>
      <c r="BB333" s="52"/>
      <c r="BC333" s="52"/>
      <c r="BD333" s="52"/>
      <c r="BE333" s="52"/>
      <c r="BF333" s="52"/>
      <c r="BG333" s="52"/>
    </row>
    <row r="334">
      <c r="A334" s="52"/>
      <c r="B334" s="52"/>
      <c r="C334" s="50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47"/>
      <c r="AV334" s="52"/>
      <c r="AW334" s="52"/>
      <c r="AX334" s="52"/>
      <c r="AY334" s="52"/>
      <c r="AZ334" s="52"/>
      <c r="BA334" s="52"/>
      <c r="BB334" s="52"/>
      <c r="BC334" s="52"/>
      <c r="BD334" s="52"/>
      <c r="BE334" s="52"/>
      <c r="BF334" s="52"/>
      <c r="BG334" s="52"/>
    </row>
    <row r="335">
      <c r="A335" s="52"/>
      <c r="B335" s="52"/>
      <c r="C335" s="50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47"/>
      <c r="AV335" s="52"/>
      <c r="AW335" s="52"/>
      <c r="AX335" s="52"/>
      <c r="AY335" s="52"/>
      <c r="AZ335" s="52"/>
      <c r="BA335" s="52"/>
      <c r="BB335" s="52"/>
      <c r="BC335" s="52"/>
      <c r="BD335" s="52"/>
      <c r="BE335" s="52"/>
      <c r="BF335" s="52"/>
      <c r="BG335" s="52"/>
    </row>
    <row r="336">
      <c r="A336" s="52"/>
      <c r="B336" s="52"/>
      <c r="C336" s="50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47"/>
      <c r="AV336" s="52"/>
      <c r="AW336" s="52"/>
      <c r="AX336" s="52"/>
      <c r="AY336" s="52"/>
      <c r="AZ336" s="52"/>
      <c r="BA336" s="52"/>
      <c r="BB336" s="52"/>
      <c r="BC336" s="52"/>
      <c r="BD336" s="52"/>
      <c r="BE336" s="52"/>
      <c r="BF336" s="52"/>
      <c r="BG336" s="52"/>
    </row>
    <row r="337">
      <c r="A337" s="52"/>
      <c r="B337" s="52"/>
      <c r="C337" s="50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47"/>
      <c r="AV337" s="52"/>
      <c r="AW337" s="52"/>
      <c r="AX337" s="52"/>
      <c r="AY337" s="52"/>
      <c r="AZ337" s="52"/>
      <c r="BA337" s="52"/>
      <c r="BB337" s="52"/>
      <c r="BC337" s="52"/>
      <c r="BD337" s="52"/>
      <c r="BE337" s="52"/>
      <c r="BF337" s="52"/>
      <c r="BG337" s="52"/>
    </row>
    <row r="338">
      <c r="A338" s="52"/>
      <c r="B338" s="52"/>
      <c r="C338" s="50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47"/>
      <c r="AV338" s="52"/>
      <c r="AW338" s="52"/>
      <c r="AX338" s="52"/>
      <c r="AY338" s="52"/>
      <c r="AZ338" s="52"/>
      <c r="BA338" s="52"/>
      <c r="BB338" s="52"/>
      <c r="BC338" s="52"/>
      <c r="BD338" s="52"/>
      <c r="BE338" s="52"/>
      <c r="BF338" s="52"/>
      <c r="BG338" s="52"/>
    </row>
    <row r="339">
      <c r="A339" s="52"/>
      <c r="B339" s="52"/>
      <c r="C339" s="50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47"/>
      <c r="AV339" s="52"/>
      <c r="AW339" s="52"/>
      <c r="AX339" s="52"/>
      <c r="AY339" s="52"/>
      <c r="AZ339" s="52"/>
      <c r="BA339" s="52"/>
      <c r="BB339" s="52"/>
      <c r="BC339" s="52"/>
      <c r="BD339" s="52"/>
      <c r="BE339" s="52"/>
      <c r="BF339" s="52"/>
      <c r="BG339" s="52"/>
    </row>
    <row r="340">
      <c r="A340" s="52"/>
      <c r="B340" s="52"/>
      <c r="C340" s="50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47"/>
      <c r="AV340" s="52"/>
      <c r="AW340" s="52"/>
      <c r="AX340" s="52"/>
      <c r="AY340" s="52"/>
      <c r="AZ340" s="52"/>
      <c r="BA340" s="52"/>
      <c r="BB340" s="52"/>
      <c r="BC340" s="52"/>
      <c r="BD340" s="52"/>
      <c r="BE340" s="52"/>
      <c r="BF340" s="52"/>
      <c r="BG340" s="52"/>
    </row>
    <row r="341">
      <c r="A341" s="52"/>
      <c r="B341" s="52"/>
      <c r="C341" s="50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47"/>
      <c r="AV341" s="52"/>
      <c r="AW341" s="52"/>
      <c r="AX341" s="52"/>
      <c r="AY341" s="52"/>
      <c r="AZ341" s="52"/>
      <c r="BA341" s="52"/>
      <c r="BB341" s="52"/>
      <c r="BC341" s="52"/>
      <c r="BD341" s="52"/>
      <c r="BE341" s="52"/>
      <c r="BF341" s="52"/>
      <c r="BG341" s="52"/>
    </row>
    <row r="342">
      <c r="A342" s="52"/>
      <c r="B342" s="52"/>
      <c r="C342" s="50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47"/>
      <c r="AV342" s="52"/>
      <c r="AW342" s="52"/>
      <c r="AX342" s="52"/>
      <c r="AY342" s="52"/>
      <c r="AZ342" s="52"/>
      <c r="BA342" s="52"/>
      <c r="BB342" s="52"/>
      <c r="BC342" s="52"/>
      <c r="BD342" s="52"/>
      <c r="BE342" s="52"/>
      <c r="BF342" s="52"/>
      <c r="BG342" s="52"/>
    </row>
    <row r="343">
      <c r="A343" s="52"/>
      <c r="B343" s="52"/>
      <c r="C343" s="50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47"/>
      <c r="AV343" s="52"/>
      <c r="AW343" s="52"/>
      <c r="AX343" s="52"/>
      <c r="AY343" s="52"/>
      <c r="AZ343" s="52"/>
      <c r="BA343" s="52"/>
      <c r="BB343" s="52"/>
      <c r="BC343" s="52"/>
      <c r="BD343" s="52"/>
      <c r="BE343" s="52"/>
      <c r="BF343" s="52"/>
      <c r="BG343" s="52"/>
    </row>
    <row r="344">
      <c r="A344" s="52"/>
      <c r="B344" s="52"/>
      <c r="C344" s="50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47"/>
      <c r="AV344" s="52"/>
      <c r="AW344" s="52"/>
      <c r="AX344" s="52"/>
      <c r="AY344" s="52"/>
      <c r="AZ344" s="52"/>
      <c r="BA344" s="52"/>
      <c r="BB344" s="52"/>
      <c r="BC344" s="52"/>
      <c r="BD344" s="52"/>
      <c r="BE344" s="52"/>
      <c r="BF344" s="52"/>
      <c r="BG344" s="52"/>
    </row>
    <row r="345">
      <c r="A345" s="52"/>
      <c r="B345" s="52"/>
      <c r="C345" s="50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47"/>
      <c r="AV345" s="52"/>
      <c r="AW345" s="52"/>
      <c r="AX345" s="52"/>
      <c r="AY345" s="52"/>
      <c r="AZ345" s="52"/>
      <c r="BA345" s="52"/>
      <c r="BB345" s="52"/>
      <c r="BC345" s="52"/>
      <c r="BD345" s="52"/>
      <c r="BE345" s="52"/>
      <c r="BF345" s="52"/>
      <c r="BG345" s="52"/>
    </row>
    <row r="346">
      <c r="A346" s="52"/>
      <c r="B346" s="52"/>
      <c r="C346" s="50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47"/>
      <c r="AV346" s="52"/>
      <c r="AW346" s="52"/>
      <c r="AX346" s="52"/>
      <c r="AY346" s="52"/>
      <c r="AZ346" s="52"/>
      <c r="BA346" s="52"/>
      <c r="BB346" s="52"/>
      <c r="BC346" s="52"/>
      <c r="BD346" s="52"/>
      <c r="BE346" s="52"/>
      <c r="BF346" s="52"/>
      <c r="BG346" s="52"/>
    </row>
    <row r="347">
      <c r="A347" s="52"/>
      <c r="B347" s="52"/>
      <c r="C347" s="50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47"/>
      <c r="AV347" s="52"/>
      <c r="AW347" s="52"/>
      <c r="AX347" s="52"/>
      <c r="AY347" s="52"/>
      <c r="AZ347" s="52"/>
      <c r="BA347" s="52"/>
      <c r="BB347" s="52"/>
      <c r="BC347" s="52"/>
      <c r="BD347" s="52"/>
      <c r="BE347" s="52"/>
      <c r="BF347" s="52"/>
      <c r="BG347" s="52"/>
    </row>
    <row r="348">
      <c r="A348" s="52"/>
      <c r="B348" s="52"/>
      <c r="C348" s="50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47"/>
      <c r="AV348" s="52"/>
      <c r="AW348" s="52"/>
      <c r="AX348" s="52"/>
      <c r="AY348" s="52"/>
      <c r="AZ348" s="52"/>
      <c r="BA348" s="52"/>
      <c r="BB348" s="52"/>
      <c r="BC348" s="52"/>
      <c r="BD348" s="52"/>
      <c r="BE348" s="52"/>
      <c r="BF348" s="52"/>
      <c r="BG348" s="52"/>
    </row>
    <row r="349">
      <c r="A349" s="52"/>
      <c r="B349" s="52"/>
      <c r="C349" s="50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47"/>
      <c r="AV349" s="52"/>
      <c r="AW349" s="52"/>
      <c r="AX349" s="52"/>
      <c r="AY349" s="52"/>
      <c r="AZ349" s="52"/>
      <c r="BA349" s="52"/>
      <c r="BB349" s="52"/>
      <c r="BC349" s="52"/>
      <c r="BD349" s="52"/>
      <c r="BE349" s="52"/>
      <c r="BF349" s="52"/>
      <c r="BG349" s="52"/>
    </row>
    <row r="350">
      <c r="A350" s="52"/>
      <c r="B350" s="52"/>
      <c r="C350" s="50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47"/>
      <c r="AV350" s="52"/>
      <c r="AW350" s="52"/>
      <c r="AX350" s="52"/>
      <c r="AY350" s="52"/>
      <c r="AZ350" s="52"/>
      <c r="BA350" s="52"/>
      <c r="BB350" s="52"/>
      <c r="BC350" s="52"/>
      <c r="BD350" s="52"/>
      <c r="BE350" s="52"/>
      <c r="BF350" s="52"/>
      <c r="BG350" s="52"/>
    </row>
    <row r="351">
      <c r="A351" s="52"/>
      <c r="B351" s="52"/>
      <c r="C351" s="50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47"/>
      <c r="AV351" s="52"/>
      <c r="AW351" s="52"/>
      <c r="AX351" s="52"/>
      <c r="AY351" s="52"/>
      <c r="AZ351" s="52"/>
      <c r="BA351" s="52"/>
      <c r="BB351" s="52"/>
      <c r="BC351" s="52"/>
      <c r="BD351" s="52"/>
      <c r="BE351" s="52"/>
      <c r="BF351" s="52"/>
      <c r="BG351" s="52"/>
    </row>
    <row r="352">
      <c r="A352" s="52"/>
      <c r="B352" s="52"/>
      <c r="C352" s="50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47"/>
      <c r="AV352" s="52"/>
      <c r="AW352" s="52"/>
      <c r="AX352" s="52"/>
      <c r="AY352" s="52"/>
      <c r="AZ352" s="52"/>
      <c r="BA352" s="52"/>
      <c r="BB352" s="52"/>
      <c r="BC352" s="52"/>
      <c r="BD352" s="52"/>
      <c r="BE352" s="52"/>
      <c r="BF352" s="52"/>
      <c r="BG352" s="52"/>
    </row>
    <row r="353">
      <c r="A353" s="52"/>
      <c r="B353" s="52"/>
      <c r="C353" s="50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47"/>
      <c r="AV353" s="52"/>
      <c r="AW353" s="52"/>
      <c r="AX353" s="52"/>
      <c r="AY353" s="52"/>
      <c r="AZ353" s="52"/>
      <c r="BA353" s="52"/>
      <c r="BB353" s="52"/>
      <c r="BC353" s="52"/>
      <c r="BD353" s="52"/>
      <c r="BE353" s="52"/>
      <c r="BF353" s="52"/>
      <c r="BG353" s="52"/>
    </row>
    <row r="354">
      <c r="A354" s="52"/>
      <c r="B354" s="52"/>
      <c r="C354" s="50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47"/>
      <c r="AV354" s="52"/>
      <c r="AW354" s="52"/>
      <c r="AX354" s="52"/>
      <c r="AY354" s="52"/>
      <c r="AZ354" s="52"/>
      <c r="BA354" s="52"/>
      <c r="BB354" s="52"/>
      <c r="BC354" s="52"/>
      <c r="BD354" s="52"/>
      <c r="BE354" s="52"/>
      <c r="BF354" s="52"/>
      <c r="BG354" s="52"/>
    </row>
    <row r="355">
      <c r="A355" s="52"/>
      <c r="B355" s="52"/>
      <c r="C355" s="50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47"/>
      <c r="AV355" s="52"/>
      <c r="AW355" s="52"/>
      <c r="AX355" s="52"/>
      <c r="AY355" s="52"/>
      <c r="AZ355" s="52"/>
      <c r="BA355" s="52"/>
      <c r="BB355" s="52"/>
      <c r="BC355" s="52"/>
      <c r="BD355" s="52"/>
      <c r="BE355" s="52"/>
      <c r="BF355" s="52"/>
      <c r="BG355" s="52"/>
    </row>
    <row r="356">
      <c r="A356" s="52"/>
      <c r="B356" s="52"/>
      <c r="C356" s="50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47"/>
      <c r="AV356" s="52"/>
      <c r="AW356" s="52"/>
      <c r="AX356" s="52"/>
      <c r="AY356" s="52"/>
      <c r="AZ356" s="52"/>
      <c r="BA356" s="52"/>
      <c r="BB356" s="52"/>
      <c r="BC356" s="52"/>
      <c r="BD356" s="52"/>
      <c r="BE356" s="52"/>
      <c r="BF356" s="52"/>
      <c r="BG356" s="52"/>
    </row>
    <row r="357">
      <c r="A357" s="52"/>
      <c r="B357" s="52"/>
      <c r="C357" s="50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47"/>
      <c r="AV357" s="52"/>
      <c r="AW357" s="52"/>
      <c r="AX357" s="52"/>
      <c r="AY357" s="52"/>
      <c r="AZ357" s="52"/>
      <c r="BA357" s="52"/>
      <c r="BB357" s="52"/>
      <c r="BC357" s="52"/>
      <c r="BD357" s="52"/>
      <c r="BE357" s="52"/>
      <c r="BF357" s="52"/>
      <c r="BG357" s="52"/>
    </row>
    <row r="358">
      <c r="A358" s="52"/>
      <c r="B358" s="52"/>
      <c r="C358" s="50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47"/>
      <c r="AV358" s="52"/>
      <c r="AW358" s="52"/>
      <c r="AX358" s="52"/>
      <c r="AY358" s="52"/>
      <c r="AZ358" s="52"/>
      <c r="BA358" s="52"/>
      <c r="BB358" s="52"/>
      <c r="BC358" s="52"/>
      <c r="BD358" s="52"/>
      <c r="BE358" s="52"/>
      <c r="BF358" s="52"/>
      <c r="BG358" s="52"/>
    </row>
    <row r="359">
      <c r="A359" s="52"/>
      <c r="B359" s="52"/>
      <c r="C359" s="50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47"/>
      <c r="AV359" s="52"/>
      <c r="AW359" s="52"/>
      <c r="AX359" s="52"/>
      <c r="AY359" s="52"/>
      <c r="AZ359" s="52"/>
      <c r="BA359" s="52"/>
      <c r="BB359" s="52"/>
      <c r="BC359" s="52"/>
      <c r="BD359" s="52"/>
      <c r="BE359" s="52"/>
      <c r="BF359" s="52"/>
      <c r="BG359" s="52"/>
    </row>
    <row r="360">
      <c r="A360" s="52"/>
      <c r="B360" s="52"/>
      <c r="C360" s="50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47"/>
      <c r="AV360" s="52"/>
      <c r="AW360" s="52"/>
      <c r="AX360" s="52"/>
      <c r="AY360" s="52"/>
      <c r="AZ360" s="52"/>
      <c r="BA360" s="52"/>
      <c r="BB360" s="52"/>
      <c r="BC360" s="52"/>
      <c r="BD360" s="52"/>
      <c r="BE360" s="52"/>
      <c r="BF360" s="52"/>
      <c r="BG360" s="52"/>
    </row>
    <row r="361">
      <c r="A361" s="52"/>
      <c r="B361" s="52"/>
      <c r="C361" s="50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47"/>
      <c r="AV361" s="52"/>
      <c r="AW361" s="52"/>
      <c r="AX361" s="52"/>
      <c r="AY361" s="52"/>
      <c r="AZ361" s="52"/>
      <c r="BA361" s="52"/>
      <c r="BB361" s="52"/>
      <c r="BC361" s="52"/>
      <c r="BD361" s="52"/>
      <c r="BE361" s="52"/>
      <c r="BF361" s="52"/>
      <c r="BG361" s="52"/>
    </row>
    <row r="362">
      <c r="A362" s="52"/>
      <c r="B362" s="52"/>
      <c r="C362" s="50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47"/>
      <c r="AV362" s="52"/>
      <c r="AW362" s="52"/>
      <c r="AX362" s="52"/>
      <c r="AY362" s="52"/>
      <c r="AZ362" s="52"/>
      <c r="BA362" s="52"/>
      <c r="BB362" s="52"/>
      <c r="BC362" s="52"/>
      <c r="BD362" s="52"/>
      <c r="BE362" s="52"/>
      <c r="BF362" s="52"/>
      <c r="BG362" s="52"/>
    </row>
    <row r="363">
      <c r="A363" s="52"/>
      <c r="B363" s="52"/>
      <c r="C363" s="50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47"/>
      <c r="AV363" s="52"/>
      <c r="AW363" s="52"/>
      <c r="AX363" s="52"/>
      <c r="AY363" s="52"/>
      <c r="AZ363" s="52"/>
      <c r="BA363" s="52"/>
      <c r="BB363" s="52"/>
      <c r="BC363" s="52"/>
      <c r="BD363" s="52"/>
      <c r="BE363" s="52"/>
      <c r="BF363" s="52"/>
      <c r="BG363" s="52"/>
    </row>
    <row r="364">
      <c r="A364" s="52"/>
      <c r="B364" s="52"/>
      <c r="C364" s="50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47"/>
      <c r="AV364" s="52"/>
      <c r="AW364" s="52"/>
      <c r="AX364" s="52"/>
      <c r="AY364" s="52"/>
      <c r="AZ364" s="52"/>
      <c r="BA364" s="52"/>
      <c r="BB364" s="52"/>
      <c r="BC364" s="52"/>
      <c r="BD364" s="52"/>
      <c r="BE364" s="52"/>
      <c r="BF364" s="52"/>
      <c r="BG364" s="52"/>
    </row>
    <row r="365">
      <c r="A365" s="52"/>
      <c r="B365" s="52"/>
      <c r="C365" s="50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47"/>
      <c r="AV365" s="52"/>
      <c r="AW365" s="52"/>
      <c r="AX365" s="52"/>
      <c r="AY365" s="52"/>
      <c r="AZ365" s="52"/>
      <c r="BA365" s="52"/>
      <c r="BB365" s="52"/>
      <c r="BC365" s="52"/>
      <c r="BD365" s="52"/>
      <c r="BE365" s="52"/>
      <c r="BF365" s="52"/>
      <c r="BG365" s="52"/>
    </row>
    <row r="366">
      <c r="A366" s="52"/>
      <c r="B366" s="52"/>
      <c r="C366" s="50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47"/>
      <c r="AV366" s="52"/>
      <c r="AW366" s="52"/>
      <c r="AX366" s="52"/>
      <c r="AY366" s="52"/>
      <c r="AZ366" s="52"/>
      <c r="BA366" s="52"/>
      <c r="BB366" s="52"/>
      <c r="BC366" s="52"/>
      <c r="BD366" s="52"/>
      <c r="BE366" s="52"/>
      <c r="BF366" s="52"/>
      <c r="BG366" s="52"/>
    </row>
    <row r="367">
      <c r="A367" s="52"/>
      <c r="B367" s="52"/>
      <c r="C367" s="50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47"/>
      <c r="AV367" s="52"/>
      <c r="AW367" s="52"/>
      <c r="AX367" s="52"/>
      <c r="AY367" s="52"/>
      <c r="AZ367" s="52"/>
      <c r="BA367" s="52"/>
      <c r="BB367" s="52"/>
      <c r="BC367" s="52"/>
      <c r="BD367" s="52"/>
      <c r="BE367" s="52"/>
      <c r="BF367" s="52"/>
      <c r="BG367" s="52"/>
    </row>
    <row r="368">
      <c r="A368" s="52"/>
      <c r="B368" s="52"/>
      <c r="C368" s="50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47"/>
      <c r="AV368" s="52"/>
      <c r="AW368" s="52"/>
      <c r="AX368" s="52"/>
      <c r="AY368" s="52"/>
      <c r="AZ368" s="52"/>
      <c r="BA368" s="52"/>
      <c r="BB368" s="52"/>
      <c r="BC368" s="52"/>
      <c r="BD368" s="52"/>
      <c r="BE368" s="52"/>
      <c r="BF368" s="52"/>
      <c r="BG368" s="52"/>
    </row>
    <row r="369">
      <c r="A369" s="52"/>
      <c r="B369" s="52"/>
      <c r="C369" s="50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47"/>
      <c r="AV369" s="52"/>
      <c r="AW369" s="52"/>
      <c r="AX369" s="52"/>
      <c r="AY369" s="52"/>
      <c r="AZ369" s="52"/>
      <c r="BA369" s="52"/>
      <c r="BB369" s="52"/>
      <c r="BC369" s="52"/>
      <c r="BD369" s="52"/>
      <c r="BE369" s="52"/>
      <c r="BF369" s="52"/>
      <c r="BG369" s="52"/>
    </row>
    <row r="370">
      <c r="A370" s="52"/>
      <c r="B370" s="52"/>
      <c r="C370" s="50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47"/>
      <c r="AV370" s="52"/>
      <c r="AW370" s="52"/>
      <c r="AX370" s="52"/>
      <c r="AY370" s="52"/>
      <c r="AZ370" s="52"/>
      <c r="BA370" s="52"/>
      <c r="BB370" s="52"/>
      <c r="BC370" s="52"/>
      <c r="BD370" s="52"/>
      <c r="BE370" s="52"/>
      <c r="BF370" s="52"/>
      <c r="BG370" s="52"/>
    </row>
    <row r="371">
      <c r="A371" s="52"/>
      <c r="B371" s="52"/>
      <c r="C371" s="50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47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</row>
    <row r="372">
      <c r="A372" s="52"/>
      <c r="B372" s="52"/>
      <c r="C372" s="50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2"/>
      <c r="AS372" s="52"/>
      <c r="AT372" s="52"/>
      <c r="AU372" s="47"/>
      <c r="AV372" s="52"/>
      <c r="AW372" s="52"/>
      <c r="AX372" s="52"/>
      <c r="AY372" s="52"/>
      <c r="AZ372" s="52"/>
      <c r="BA372" s="52"/>
      <c r="BB372" s="52"/>
      <c r="BC372" s="52"/>
      <c r="BD372" s="52"/>
      <c r="BE372" s="52"/>
      <c r="BF372" s="52"/>
      <c r="BG372" s="52"/>
    </row>
    <row r="373">
      <c r="A373" s="52"/>
      <c r="B373" s="52"/>
      <c r="C373" s="50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/>
      <c r="AT373" s="52"/>
      <c r="AU373" s="47"/>
      <c r="AV373" s="52"/>
      <c r="AW373" s="52"/>
      <c r="AX373" s="52"/>
      <c r="AY373" s="52"/>
      <c r="AZ373" s="52"/>
      <c r="BA373" s="52"/>
      <c r="BB373" s="52"/>
      <c r="BC373" s="52"/>
      <c r="BD373" s="52"/>
      <c r="BE373" s="52"/>
      <c r="BF373" s="52"/>
      <c r="BG373" s="52"/>
    </row>
    <row r="374">
      <c r="A374" s="52"/>
      <c r="B374" s="52"/>
      <c r="C374" s="50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/>
      <c r="AT374" s="52"/>
      <c r="AU374" s="47"/>
      <c r="AV374" s="52"/>
      <c r="AW374" s="52"/>
      <c r="AX374" s="52"/>
      <c r="AY374" s="52"/>
      <c r="AZ374" s="52"/>
      <c r="BA374" s="52"/>
      <c r="BB374" s="52"/>
      <c r="BC374" s="52"/>
      <c r="BD374" s="52"/>
      <c r="BE374" s="52"/>
      <c r="BF374" s="52"/>
      <c r="BG374" s="52"/>
    </row>
    <row r="375">
      <c r="A375" s="52"/>
      <c r="B375" s="52"/>
      <c r="C375" s="50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2"/>
      <c r="AL375" s="52"/>
      <c r="AM375" s="52"/>
      <c r="AN375" s="52"/>
      <c r="AO375" s="52"/>
      <c r="AP375" s="52"/>
      <c r="AQ375" s="52"/>
      <c r="AR375" s="52"/>
      <c r="AS375" s="52"/>
      <c r="AT375" s="52"/>
      <c r="AU375" s="47"/>
      <c r="AV375" s="52"/>
      <c r="AW375" s="52"/>
      <c r="AX375" s="52"/>
      <c r="AY375" s="52"/>
      <c r="AZ375" s="52"/>
      <c r="BA375" s="52"/>
      <c r="BB375" s="52"/>
      <c r="BC375" s="52"/>
      <c r="BD375" s="52"/>
      <c r="BE375" s="52"/>
      <c r="BF375" s="52"/>
      <c r="BG375" s="52"/>
    </row>
    <row r="376">
      <c r="A376" s="52"/>
      <c r="B376" s="52"/>
      <c r="C376" s="50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2"/>
      <c r="AL376" s="52"/>
      <c r="AM376" s="52"/>
      <c r="AN376" s="52"/>
      <c r="AO376" s="52"/>
      <c r="AP376" s="52"/>
      <c r="AQ376" s="52"/>
      <c r="AR376" s="52"/>
      <c r="AS376" s="52"/>
      <c r="AT376" s="52"/>
      <c r="AU376" s="47"/>
      <c r="AV376" s="52"/>
      <c r="AW376" s="52"/>
      <c r="AX376" s="52"/>
      <c r="AY376" s="52"/>
      <c r="AZ376" s="52"/>
      <c r="BA376" s="52"/>
      <c r="BB376" s="52"/>
      <c r="BC376" s="52"/>
      <c r="BD376" s="52"/>
      <c r="BE376" s="52"/>
      <c r="BF376" s="52"/>
      <c r="BG376" s="52"/>
    </row>
    <row r="377">
      <c r="A377" s="52"/>
      <c r="B377" s="52"/>
      <c r="C377" s="50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2"/>
      <c r="AL377" s="52"/>
      <c r="AM377" s="52"/>
      <c r="AN377" s="52"/>
      <c r="AO377" s="52"/>
      <c r="AP377" s="52"/>
      <c r="AQ377" s="52"/>
      <c r="AR377" s="52"/>
      <c r="AS377" s="52"/>
      <c r="AT377" s="52"/>
      <c r="AU377" s="47"/>
      <c r="AV377" s="52"/>
      <c r="AW377" s="52"/>
      <c r="AX377" s="52"/>
      <c r="AY377" s="52"/>
      <c r="AZ377" s="52"/>
      <c r="BA377" s="52"/>
      <c r="BB377" s="52"/>
      <c r="BC377" s="52"/>
      <c r="BD377" s="52"/>
      <c r="BE377" s="52"/>
      <c r="BF377" s="52"/>
      <c r="BG377" s="52"/>
    </row>
    <row r="378">
      <c r="A378" s="52"/>
      <c r="B378" s="52"/>
      <c r="C378" s="50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/>
      <c r="AT378" s="52"/>
      <c r="AU378" s="47"/>
      <c r="AV378" s="52"/>
      <c r="AW378" s="52"/>
      <c r="AX378" s="52"/>
      <c r="AY378" s="52"/>
      <c r="AZ378" s="52"/>
      <c r="BA378" s="52"/>
      <c r="BB378" s="52"/>
      <c r="BC378" s="52"/>
      <c r="BD378" s="52"/>
      <c r="BE378" s="52"/>
      <c r="BF378" s="52"/>
      <c r="BG378" s="52"/>
    </row>
    <row r="379">
      <c r="A379" s="52"/>
      <c r="B379" s="52"/>
      <c r="C379" s="50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/>
      <c r="AT379" s="52"/>
      <c r="AU379" s="47"/>
      <c r="AV379" s="52"/>
      <c r="AW379" s="52"/>
      <c r="AX379" s="52"/>
      <c r="AY379" s="52"/>
      <c r="AZ379" s="52"/>
      <c r="BA379" s="52"/>
      <c r="BB379" s="52"/>
      <c r="BC379" s="52"/>
      <c r="BD379" s="52"/>
      <c r="BE379" s="52"/>
      <c r="BF379" s="52"/>
      <c r="BG379" s="52"/>
    </row>
    <row r="380">
      <c r="A380" s="52"/>
      <c r="B380" s="52"/>
      <c r="C380" s="50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/>
      <c r="AT380" s="52"/>
      <c r="AU380" s="47"/>
      <c r="AV380" s="52"/>
      <c r="AW380" s="52"/>
      <c r="AX380" s="52"/>
      <c r="AY380" s="52"/>
      <c r="AZ380" s="52"/>
      <c r="BA380" s="52"/>
      <c r="BB380" s="52"/>
      <c r="BC380" s="52"/>
      <c r="BD380" s="52"/>
      <c r="BE380" s="52"/>
      <c r="BF380" s="52"/>
      <c r="BG380" s="52"/>
    </row>
    <row r="381">
      <c r="A381" s="52"/>
      <c r="B381" s="52"/>
      <c r="C381" s="50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2"/>
      <c r="AL381" s="52"/>
      <c r="AM381" s="52"/>
      <c r="AN381" s="52"/>
      <c r="AO381" s="52"/>
      <c r="AP381" s="52"/>
      <c r="AQ381" s="52"/>
      <c r="AR381" s="52"/>
      <c r="AS381" s="52"/>
      <c r="AT381" s="52"/>
      <c r="AU381" s="47"/>
      <c r="AV381" s="52"/>
      <c r="AW381" s="52"/>
      <c r="AX381" s="52"/>
      <c r="AY381" s="52"/>
      <c r="AZ381" s="52"/>
      <c r="BA381" s="52"/>
      <c r="BB381" s="52"/>
      <c r="BC381" s="52"/>
      <c r="BD381" s="52"/>
      <c r="BE381" s="52"/>
      <c r="BF381" s="52"/>
      <c r="BG381" s="52"/>
    </row>
    <row r="382">
      <c r="A382" s="52"/>
      <c r="B382" s="52"/>
      <c r="C382" s="50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2"/>
      <c r="AL382" s="52"/>
      <c r="AM382" s="52"/>
      <c r="AN382" s="52"/>
      <c r="AO382" s="52"/>
      <c r="AP382" s="52"/>
      <c r="AQ382" s="52"/>
      <c r="AR382" s="52"/>
      <c r="AS382" s="52"/>
      <c r="AT382" s="52"/>
      <c r="AU382" s="47"/>
      <c r="AV382" s="52"/>
      <c r="AW382" s="52"/>
      <c r="AX382" s="52"/>
      <c r="AY382" s="52"/>
      <c r="AZ382" s="52"/>
      <c r="BA382" s="52"/>
      <c r="BB382" s="52"/>
      <c r="BC382" s="52"/>
      <c r="BD382" s="52"/>
      <c r="BE382" s="52"/>
      <c r="BF382" s="52"/>
      <c r="BG382" s="52"/>
    </row>
    <row r="383">
      <c r="A383" s="52"/>
      <c r="B383" s="52"/>
      <c r="C383" s="50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/>
      <c r="AT383" s="52"/>
      <c r="AU383" s="47"/>
      <c r="AV383" s="52"/>
      <c r="AW383" s="52"/>
      <c r="AX383" s="52"/>
      <c r="AY383" s="52"/>
      <c r="AZ383" s="52"/>
      <c r="BA383" s="52"/>
      <c r="BB383" s="52"/>
      <c r="BC383" s="52"/>
      <c r="BD383" s="52"/>
      <c r="BE383" s="52"/>
      <c r="BF383" s="52"/>
      <c r="BG383" s="52"/>
    </row>
    <row r="384">
      <c r="A384" s="52"/>
      <c r="B384" s="52"/>
      <c r="C384" s="50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/>
      <c r="AT384" s="52"/>
      <c r="AU384" s="47"/>
      <c r="AV384" s="52"/>
      <c r="AW384" s="52"/>
      <c r="AX384" s="52"/>
      <c r="AY384" s="52"/>
      <c r="AZ384" s="52"/>
      <c r="BA384" s="52"/>
      <c r="BB384" s="52"/>
      <c r="BC384" s="52"/>
      <c r="BD384" s="52"/>
      <c r="BE384" s="52"/>
      <c r="BF384" s="52"/>
      <c r="BG384" s="52"/>
    </row>
    <row r="385">
      <c r="A385" s="52"/>
      <c r="B385" s="52"/>
      <c r="C385" s="50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/>
      <c r="AT385" s="52"/>
      <c r="AU385" s="47"/>
      <c r="AV385" s="52"/>
      <c r="AW385" s="52"/>
      <c r="AX385" s="52"/>
      <c r="AY385" s="52"/>
      <c r="AZ385" s="52"/>
      <c r="BA385" s="52"/>
      <c r="BB385" s="52"/>
      <c r="BC385" s="52"/>
      <c r="BD385" s="52"/>
      <c r="BE385" s="52"/>
      <c r="BF385" s="52"/>
      <c r="BG385" s="52"/>
    </row>
    <row r="386">
      <c r="A386" s="52"/>
      <c r="B386" s="52"/>
      <c r="C386" s="50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/>
      <c r="AT386" s="52"/>
      <c r="AU386" s="47"/>
      <c r="AV386" s="52"/>
      <c r="AW386" s="52"/>
      <c r="AX386" s="52"/>
      <c r="AY386" s="52"/>
      <c r="AZ386" s="52"/>
      <c r="BA386" s="52"/>
      <c r="BB386" s="52"/>
      <c r="BC386" s="52"/>
      <c r="BD386" s="52"/>
      <c r="BE386" s="52"/>
      <c r="BF386" s="52"/>
      <c r="BG386" s="52"/>
    </row>
    <row r="387">
      <c r="A387" s="52"/>
      <c r="B387" s="52"/>
      <c r="C387" s="50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/>
      <c r="AT387" s="52"/>
      <c r="AU387" s="47"/>
      <c r="AV387" s="52"/>
      <c r="AW387" s="52"/>
      <c r="AX387" s="52"/>
      <c r="AY387" s="52"/>
      <c r="AZ387" s="52"/>
      <c r="BA387" s="52"/>
      <c r="BB387" s="52"/>
      <c r="BC387" s="52"/>
      <c r="BD387" s="52"/>
      <c r="BE387" s="52"/>
      <c r="BF387" s="52"/>
      <c r="BG387" s="52"/>
    </row>
    <row r="388">
      <c r="A388" s="52"/>
      <c r="B388" s="52"/>
      <c r="C388" s="50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/>
      <c r="AT388" s="52"/>
      <c r="AU388" s="47"/>
      <c r="AV388" s="52"/>
      <c r="AW388" s="52"/>
      <c r="AX388" s="52"/>
      <c r="AY388" s="52"/>
      <c r="AZ388" s="52"/>
      <c r="BA388" s="52"/>
      <c r="BB388" s="52"/>
      <c r="BC388" s="52"/>
      <c r="BD388" s="52"/>
      <c r="BE388" s="52"/>
      <c r="BF388" s="52"/>
      <c r="BG388" s="52"/>
    </row>
    <row r="389">
      <c r="A389" s="52"/>
      <c r="B389" s="52"/>
      <c r="C389" s="50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/>
      <c r="AT389" s="52"/>
      <c r="AU389" s="47"/>
      <c r="AV389" s="52"/>
      <c r="AW389" s="52"/>
      <c r="AX389" s="52"/>
      <c r="AY389" s="52"/>
      <c r="AZ389" s="52"/>
      <c r="BA389" s="52"/>
      <c r="BB389" s="52"/>
      <c r="BC389" s="52"/>
      <c r="BD389" s="52"/>
      <c r="BE389" s="52"/>
      <c r="BF389" s="52"/>
      <c r="BG389" s="52"/>
    </row>
    <row r="390">
      <c r="A390" s="52"/>
      <c r="B390" s="52"/>
      <c r="C390" s="50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2"/>
      <c r="AS390" s="52"/>
      <c r="AT390" s="52"/>
      <c r="AU390" s="47"/>
      <c r="AV390" s="52"/>
      <c r="AW390" s="52"/>
      <c r="AX390" s="52"/>
      <c r="AY390" s="52"/>
      <c r="AZ390" s="52"/>
      <c r="BA390" s="52"/>
      <c r="BB390" s="52"/>
      <c r="BC390" s="52"/>
      <c r="BD390" s="52"/>
      <c r="BE390" s="52"/>
      <c r="BF390" s="52"/>
      <c r="BG390" s="52"/>
    </row>
    <row r="391">
      <c r="A391" s="52"/>
      <c r="B391" s="52"/>
      <c r="C391" s="50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2"/>
      <c r="AL391" s="52"/>
      <c r="AM391" s="52"/>
      <c r="AN391" s="52"/>
      <c r="AO391" s="52"/>
      <c r="AP391" s="52"/>
      <c r="AQ391" s="52"/>
      <c r="AR391" s="52"/>
      <c r="AS391" s="52"/>
      <c r="AT391" s="52"/>
      <c r="AU391" s="47"/>
      <c r="AV391" s="52"/>
      <c r="AW391" s="52"/>
      <c r="AX391" s="52"/>
      <c r="AY391" s="52"/>
      <c r="AZ391" s="52"/>
      <c r="BA391" s="52"/>
      <c r="BB391" s="52"/>
      <c r="BC391" s="52"/>
      <c r="BD391" s="52"/>
      <c r="BE391" s="52"/>
      <c r="BF391" s="52"/>
      <c r="BG391" s="52"/>
    </row>
    <row r="392">
      <c r="A392" s="52"/>
      <c r="B392" s="52"/>
      <c r="C392" s="50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2"/>
      <c r="AL392" s="52"/>
      <c r="AM392" s="52"/>
      <c r="AN392" s="52"/>
      <c r="AO392" s="52"/>
      <c r="AP392" s="52"/>
      <c r="AQ392" s="52"/>
      <c r="AR392" s="52"/>
      <c r="AS392" s="52"/>
      <c r="AT392" s="52"/>
      <c r="AU392" s="47"/>
      <c r="AV392" s="52"/>
      <c r="AW392" s="52"/>
      <c r="AX392" s="52"/>
      <c r="AY392" s="52"/>
      <c r="AZ392" s="52"/>
      <c r="BA392" s="52"/>
      <c r="BB392" s="52"/>
      <c r="BC392" s="52"/>
      <c r="BD392" s="52"/>
      <c r="BE392" s="52"/>
      <c r="BF392" s="52"/>
      <c r="BG392" s="52"/>
    </row>
    <row r="393">
      <c r="A393" s="52"/>
      <c r="B393" s="52"/>
      <c r="C393" s="50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2"/>
      <c r="AL393" s="52"/>
      <c r="AM393" s="52"/>
      <c r="AN393" s="52"/>
      <c r="AO393" s="52"/>
      <c r="AP393" s="52"/>
      <c r="AQ393" s="52"/>
      <c r="AR393" s="52"/>
      <c r="AS393" s="52"/>
      <c r="AT393" s="52"/>
      <c r="AU393" s="47"/>
      <c r="AV393" s="52"/>
      <c r="AW393" s="52"/>
      <c r="AX393" s="52"/>
      <c r="AY393" s="52"/>
      <c r="AZ393" s="52"/>
      <c r="BA393" s="52"/>
      <c r="BB393" s="52"/>
      <c r="BC393" s="52"/>
      <c r="BD393" s="52"/>
      <c r="BE393" s="52"/>
      <c r="BF393" s="52"/>
      <c r="BG393" s="52"/>
    </row>
    <row r="394">
      <c r="A394" s="52"/>
      <c r="B394" s="52"/>
      <c r="C394" s="50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2"/>
      <c r="AL394" s="52"/>
      <c r="AM394" s="52"/>
      <c r="AN394" s="52"/>
      <c r="AO394" s="52"/>
      <c r="AP394" s="52"/>
      <c r="AQ394" s="52"/>
      <c r="AR394" s="52"/>
      <c r="AS394" s="52"/>
      <c r="AT394" s="52"/>
      <c r="AU394" s="47"/>
      <c r="AV394" s="52"/>
      <c r="AW394" s="52"/>
      <c r="AX394" s="52"/>
      <c r="AY394" s="52"/>
      <c r="AZ394" s="52"/>
      <c r="BA394" s="52"/>
      <c r="BB394" s="52"/>
      <c r="BC394" s="52"/>
      <c r="BD394" s="52"/>
      <c r="BE394" s="52"/>
      <c r="BF394" s="52"/>
      <c r="BG394" s="52"/>
    </row>
    <row r="395">
      <c r="A395" s="52"/>
      <c r="B395" s="52"/>
      <c r="C395" s="50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2"/>
      <c r="AL395" s="52"/>
      <c r="AM395" s="52"/>
      <c r="AN395" s="52"/>
      <c r="AO395" s="52"/>
      <c r="AP395" s="52"/>
      <c r="AQ395" s="52"/>
      <c r="AR395" s="52"/>
      <c r="AS395" s="52"/>
      <c r="AT395" s="52"/>
      <c r="AU395" s="47"/>
      <c r="AV395" s="52"/>
      <c r="AW395" s="52"/>
      <c r="AX395" s="52"/>
      <c r="AY395" s="52"/>
      <c r="AZ395" s="52"/>
      <c r="BA395" s="52"/>
      <c r="BB395" s="52"/>
      <c r="BC395" s="52"/>
      <c r="BD395" s="52"/>
      <c r="BE395" s="52"/>
      <c r="BF395" s="52"/>
      <c r="BG395" s="52"/>
    </row>
    <row r="396">
      <c r="A396" s="52"/>
      <c r="B396" s="52"/>
      <c r="C396" s="50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2"/>
      <c r="AL396" s="52"/>
      <c r="AM396" s="52"/>
      <c r="AN396" s="52"/>
      <c r="AO396" s="52"/>
      <c r="AP396" s="52"/>
      <c r="AQ396" s="52"/>
      <c r="AR396" s="52"/>
      <c r="AS396" s="52"/>
      <c r="AT396" s="52"/>
      <c r="AU396" s="47"/>
      <c r="AV396" s="52"/>
      <c r="AW396" s="52"/>
      <c r="AX396" s="52"/>
      <c r="AY396" s="52"/>
      <c r="AZ396" s="52"/>
      <c r="BA396" s="52"/>
      <c r="BB396" s="52"/>
      <c r="BC396" s="52"/>
      <c r="BD396" s="52"/>
      <c r="BE396" s="52"/>
      <c r="BF396" s="52"/>
      <c r="BG396" s="52"/>
    </row>
    <row r="397">
      <c r="A397" s="52"/>
      <c r="B397" s="52"/>
      <c r="C397" s="50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2"/>
      <c r="AL397" s="52"/>
      <c r="AM397" s="52"/>
      <c r="AN397" s="52"/>
      <c r="AO397" s="52"/>
      <c r="AP397" s="52"/>
      <c r="AQ397" s="52"/>
      <c r="AR397" s="52"/>
      <c r="AS397" s="52"/>
      <c r="AT397" s="52"/>
      <c r="AU397" s="47"/>
      <c r="AV397" s="52"/>
      <c r="AW397" s="52"/>
      <c r="AX397" s="52"/>
      <c r="AY397" s="52"/>
      <c r="AZ397" s="52"/>
      <c r="BA397" s="52"/>
      <c r="BB397" s="52"/>
      <c r="BC397" s="52"/>
      <c r="BD397" s="52"/>
      <c r="BE397" s="52"/>
      <c r="BF397" s="52"/>
      <c r="BG397" s="52"/>
    </row>
    <row r="398">
      <c r="A398" s="52"/>
      <c r="B398" s="52"/>
      <c r="C398" s="50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2"/>
      <c r="AL398" s="52"/>
      <c r="AM398" s="52"/>
      <c r="AN398" s="52"/>
      <c r="AO398" s="52"/>
      <c r="AP398" s="52"/>
      <c r="AQ398" s="52"/>
      <c r="AR398" s="52"/>
      <c r="AS398" s="52"/>
      <c r="AT398" s="52"/>
      <c r="AU398" s="47"/>
      <c r="AV398" s="52"/>
      <c r="AW398" s="52"/>
      <c r="AX398" s="52"/>
      <c r="AY398" s="52"/>
      <c r="AZ398" s="52"/>
      <c r="BA398" s="52"/>
      <c r="BB398" s="52"/>
      <c r="BC398" s="52"/>
      <c r="BD398" s="52"/>
      <c r="BE398" s="52"/>
      <c r="BF398" s="52"/>
      <c r="BG398" s="52"/>
    </row>
    <row r="399">
      <c r="A399" s="52"/>
      <c r="B399" s="52"/>
      <c r="C399" s="50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2"/>
      <c r="AL399" s="52"/>
      <c r="AM399" s="52"/>
      <c r="AN399" s="52"/>
      <c r="AO399" s="52"/>
      <c r="AP399" s="52"/>
      <c r="AQ399" s="52"/>
      <c r="AR399" s="52"/>
      <c r="AS399" s="52"/>
      <c r="AT399" s="52"/>
      <c r="AU399" s="47"/>
      <c r="AV399" s="52"/>
      <c r="AW399" s="52"/>
      <c r="AX399" s="52"/>
      <c r="AY399" s="52"/>
      <c r="AZ399" s="52"/>
      <c r="BA399" s="52"/>
      <c r="BB399" s="52"/>
      <c r="BC399" s="52"/>
      <c r="BD399" s="52"/>
      <c r="BE399" s="52"/>
      <c r="BF399" s="52"/>
      <c r="BG399" s="52"/>
    </row>
    <row r="400">
      <c r="A400" s="52"/>
      <c r="B400" s="52"/>
      <c r="C400" s="50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/>
      <c r="AT400" s="52"/>
      <c r="AU400" s="47"/>
      <c r="AV400" s="52"/>
      <c r="AW400" s="52"/>
      <c r="AX400" s="52"/>
      <c r="AY400" s="52"/>
      <c r="AZ400" s="52"/>
      <c r="BA400" s="52"/>
      <c r="BB400" s="52"/>
      <c r="BC400" s="52"/>
      <c r="BD400" s="52"/>
      <c r="BE400" s="52"/>
      <c r="BF400" s="52"/>
      <c r="BG400" s="52"/>
    </row>
    <row r="401">
      <c r="A401" s="52"/>
      <c r="B401" s="52"/>
      <c r="C401" s="50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/>
      <c r="AT401" s="52"/>
      <c r="AU401" s="47"/>
      <c r="AV401" s="52"/>
      <c r="AW401" s="52"/>
      <c r="AX401" s="52"/>
      <c r="AY401" s="52"/>
      <c r="AZ401" s="52"/>
      <c r="BA401" s="52"/>
      <c r="BB401" s="52"/>
      <c r="BC401" s="52"/>
      <c r="BD401" s="52"/>
      <c r="BE401" s="52"/>
      <c r="BF401" s="52"/>
      <c r="BG401" s="52"/>
    </row>
    <row r="402">
      <c r="A402" s="52"/>
      <c r="B402" s="52"/>
      <c r="C402" s="50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52"/>
      <c r="AN402" s="52"/>
      <c r="AO402" s="52"/>
      <c r="AP402" s="52"/>
      <c r="AQ402" s="52"/>
      <c r="AR402" s="52"/>
      <c r="AS402" s="52"/>
      <c r="AT402" s="52"/>
      <c r="AU402" s="47"/>
      <c r="AV402" s="52"/>
      <c r="AW402" s="52"/>
      <c r="AX402" s="52"/>
      <c r="AY402" s="52"/>
      <c r="AZ402" s="52"/>
      <c r="BA402" s="52"/>
      <c r="BB402" s="52"/>
      <c r="BC402" s="52"/>
      <c r="BD402" s="52"/>
      <c r="BE402" s="52"/>
      <c r="BF402" s="52"/>
      <c r="BG402" s="52"/>
    </row>
    <row r="403">
      <c r="A403" s="52"/>
      <c r="B403" s="52"/>
      <c r="C403" s="50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2"/>
      <c r="AL403" s="52"/>
      <c r="AM403" s="52"/>
      <c r="AN403" s="52"/>
      <c r="AO403" s="52"/>
      <c r="AP403" s="52"/>
      <c r="AQ403" s="52"/>
      <c r="AR403" s="52"/>
      <c r="AS403" s="52"/>
      <c r="AT403" s="52"/>
      <c r="AU403" s="47"/>
      <c r="AV403" s="52"/>
      <c r="AW403" s="52"/>
      <c r="AX403" s="52"/>
      <c r="AY403" s="52"/>
      <c r="AZ403" s="52"/>
      <c r="BA403" s="52"/>
      <c r="BB403" s="52"/>
      <c r="BC403" s="52"/>
      <c r="BD403" s="52"/>
      <c r="BE403" s="52"/>
      <c r="BF403" s="52"/>
      <c r="BG403" s="52"/>
    </row>
    <row r="404">
      <c r="A404" s="52"/>
      <c r="B404" s="52"/>
      <c r="C404" s="50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2"/>
      <c r="AL404" s="52"/>
      <c r="AM404" s="52"/>
      <c r="AN404" s="52"/>
      <c r="AO404" s="52"/>
      <c r="AP404" s="52"/>
      <c r="AQ404" s="52"/>
      <c r="AR404" s="52"/>
      <c r="AS404" s="52"/>
      <c r="AT404" s="52"/>
      <c r="AU404" s="47"/>
      <c r="AV404" s="52"/>
      <c r="AW404" s="52"/>
      <c r="AX404" s="52"/>
      <c r="AY404" s="52"/>
      <c r="AZ404" s="52"/>
      <c r="BA404" s="52"/>
      <c r="BB404" s="52"/>
      <c r="BC404" s="52"/>
      <c r="BD404" s="52"/>
      <c r="BE404" s="52"/>
      <c r="BF404" s="52"/>
      <c r="BG404" s="52"/>
    </row>
    <row r="405">
      <c r="A405" s="52"/>
      <c r="B405" s="52"/>
      <c r="C405" s="50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2"/>
      <c r="AL405" s="52"/>
      <c r="AM405" s="52"/>
      <c r="AN405" s="52"/>
      <c r="AO405" s="52"/>
      <c r="AP405" s="52"/>
      <c r="AQ405" s="52"/>
      <c r="AR405" s="52"/>
      <c r="AS405" s="52"/>
      <c r="AT405" s="52"/>
      <c r="AU405" s="47"/>
      <c r="AV405" s="52"/>
      <c r="AW405" s="52"/>
      <c r="AX405" s="52"/>
      <c r="AY405" s="52"/>
      <c r="AZ405" s="52"/>
      <c r="BA405" s="52"/>
      <c r="BB405" s="52"/>
      <c r="BC405" s="52"/>
      <c r="BD405" s="52"/>
      <c r="BE405" s="52"/>
      <c r="BF405" s="52"/>
      <c r="BG405" s="52"/>
    </row>
    <row r="406">
      <c r="A406" s="52"/>
      <c r="B406" s="52"/>
      <c r="C406" s="50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2"/>
      <c r="AS406" s="52"/>
      <c r="AT406" s="52"/>
      <c r="AU406" s="47"/>
      <c r="AV406" s="52"/>
      <c r="AW406" s="52"/>
      <c r="AX406" s="52"/>
      <c r="AY406" s="52"/>
      <c r="AZ406" s="52"/>
      <c r="BA406" s="52"/>
      <c r="BB406" s="52"/>
      <c r="BC406" s="52"/>
      <c r="BD406" s="52"/>
      <c r="BE406" s="52"/>
      <c r="BF406" s="52"/>
      <c r="BG406" s="52"/>
    </row>
    <row r="407">
      <c r="A407" s="52"/>
      <c r="B407" s="52"/>
      <c r="C407" s="50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2"/>
      <c r="AS407" s="52"/>
      <c r="AT407" s="52"/>
      <c r="AU407" s="47"/>
      <c r="AV407" s="52"/>
      <c r="AW407" s="52"/>
      <c r="AX407" s="52"/>
      <c r="AY407" s="52"/>
      <c r="AZ407" s="52"/>
      <c r="BA407" s="52"/>
      <c r="BB407" s="52"/>
      <c r="BC407" s="52"/>
      <c r="BD407" s="52"/>
      <c r="BE407" s="52"/>
      <c r="BF407" s="52"/>
      <c r="BG407" s="52"/>
    </row>
    <row r="408">
      <c r="A408" s="52"/>
      <c r="B408" s="52"/>
      <c r="C408" s="50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/>
      <c r="AT408" s="52"/>
      <c r="AU408" s="47"/>
      <c r="AV408" s="52"/>
      <c r="AW408" s="52"/>
      <c r="AX408" s="52"/>
      <c r="AY408" s="52"/>
      <c r="AZ408" s="52"/>
      <c r="BA408" s="52"/>
      <c r="BB408" s="52"/>
      <c r="BC408" s="52"/>
      <c r="BD408" s="52"/>
      <c r="BE408" s="52"/>
      <c r="BF408" s="52"/>
      <c r="BG408" s="52"/>
    </row>
    <row r="409">
      <c r="A409" s="52"/>
      <c r="B409" s="52"/>
      <c r="C409" s="50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2"/>
      <c r="AL409" s="52"/>
      <c r="AM409" s="52"/>
      <c r="AN409" s="52"/>
      <c r="AO409" s="52"/>
      <c r="AP409" s="52"/>
      <c r="AQ409" s="52"/>
      <c r="AR409" s="52"/>
      <c r="AS409" s="52"/>
      <c r="AT409" s="52"/>
      <c r="AU409" s="47"/>
      <c r="AV409" s="52"/>
      <c r="AW409" s="52"/>
      <c r="AX409" s="52"/>
      <c r="AY409" s="52"/>
      <c r="AZ409" s="52"/>
      <c r="BA409" s="52"/>
      <c r="BB409" s="52"/>
      <c r="BC409" s="52"/>
      <c r="BD409" s="52"/>
      <c r="BE409" s="52"/>
      <c r="BF409" s="52"/>
      <c r="BG409" s="52"/>
    </row>
    <row r="410">
      <c r="A410" s="52"/>
      <c r="B410" s="52"/>
      <c r="C410" s="50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2"/>
      <c r="AL410" s="52"/>
      <c r="AM410" s="52"/>
      <c r="AN410" s="52"/>
      <c r="AO410" s="52"/>
      <c r="AP410" s="52"/>
      <c r="AQ410" s="52"/>
      <c r="AR410" s="52"/>
      <c r="AS410" s="52"/>
      <c r="AT410" s="52"/>
      <c r="AU410" s="47"/>
      <c r="AV410" s="52"/>
      <c r="AW410" s="52"/>
      <c r="AX410" s="52"/>
      <c r="AY410" s="52"/>
      <c r="AZ410" s="52"/>
      <c r="BA410" s="52"/>
      <c r="BB410" s="52"/>
      <c r="BC410" s="52"/>
      <c r="BD410" s="52"/>
      <c r="BE410" s="52"/>
      <c r="BF410" s="52"/>
      <c r="BG410" s="52"/>
    </row>
    <row r="411">
      <c r="A411" s="52"/>
      <c r="B411" s="52"/>
      <c r="C411" s="50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/>
      <c r="AT411" s="52"/>
      <c r="AU411" s="47"/>
      <c r="AV411" s="52"/>
      <c r="AW411" s="52"/>
      <c r="AX411" s="52"/>
      <c r="AY411" s="52"/>
      <c r="AZ411" s="52"/>
      <c r="BA411" s="52"/>
      <c r="BB411" s="52"/>
      <c r="BC411" s="52"/>
      <c r="BD411" s="52"/>
      <c r="BE411" s="52"/>
      <c r="BF411" s="52"/>
      <c r="BG411" s="52"/>
    </row>
    <row r="412">
      <c r="A412" s="52"/>
      <c r="B412" s="52"/>
      <c r="C412" s="50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/>
      <c r="AT412" s="52"/>
      <c r="AU412" s="47"/>
      <c r="AV412" s="52"/>
      <c r="AW412" s="52"/>
      <c r="AX412" s="52"/>
      <c r="AY412" s="52"/>
      <c r="AZ412" s="52"/>
      <c r="BA412" s="52"/>
      <c r="BB412" s="52"/>
      <c r="BC412" s="52"/>
      <c r="BD412" s="52"/>
      <c r="BE412" s="52"/>
      <c r="BF412" s="52"/>
      <c r="BG412" s="52"/>
    </row>
    <row r="413">
      <c r="A413" s="52"/>
      <c r="B413" s="52"/>
      <c r="C413" s="50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/>
      <c r="AT413" s="52"/>
      <c r="AU413" s="47"/>
      <c r="AV413" s="52"/>
      <c r="AW413" s="52"/>
      <c r="AX413" s="52"/>
      <c r="AY413" s="52"/>
      <c r="AZ413" s="52"/>
      <c r="BA413" s="52"/>
      <c r="BB413" s="52"/>
      <c r="BC413" s="52"/>
      <c r="BD413" s="52"/>
      <c r="BE413" s="52"/>
      <c r="BF413" s="52"/>
      <c r="BG413" s="52"/>
    </row>
    <row r="414">
      <c r="A414" s="52"/>
      <c r="B414" s="52"/>
      <c r="C414" s="50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/>
      <c r="AT414" s="52"/>
      <c r="AU414" s="47"/>
      <c r="AV414" s="52"/>
      <c r="AW414" s="52"/>
      <c r="AX414" s="52"/>
      <c r="AY414" s="52"/>
      <c r="AZ414" s="52"/>
      <c r="BA414" s="52"/>
      <c r="BB414" s="52"/>
      <c r="BC414" s="52"/>
      <c r="BD414" s="52"/>
      <c r="BE414" s="52"/>
      <c r="BF414" s="52"/>
      <c r="BG414" s="52"/>
    </row>
    <row r="415">
      <c r="A415" s="52"/>
      <c r="B415" s="52"/>
      <c r="C415" s="50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/>
      <c r="AT415" s="52"/>
      <c r="AU415" s="47"/>
      <c r="AV415" s="52"/>
      <c r="AW415" s="52"/>
      <c r="AX415" s="52"/>
      <c r="AY415" s="52"/>
      <c r="AZ415" s="52"/>
      <c r="BA415" s="52"/>
      <c r="BB415" s="52"/>
      <c r="BC415" s="52"/>
      <c r="BD415" s="52"/>
      <c r="BE415" s="52"/>
      <c r="BF415" s="52"/>
      <c r="BG415" s="52"/>
    </row>
    <row r="416">
      <c r="A416" s="52"/>
      <c r="B416" s="52"/>
      <c r="C416" s="50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/>
      <c r="AT416" s="52"/>
      <c r="AU416" s="47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</row>
    <row r="417">
      <c r="A417" s="52"/>
      <c r="B417" s="52"/>
      <c r="C417" s="50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/>
      <c r="AT417" s="52"/>
      <c r="AU417" s="47"/>
      <c r="AV417" s="52"/>
      <c r="AW417" s="52"/>
      <c r="AX417" s="52"/>
      <c r="AY417" s="52"/>
      <c r="AZ417" s="52"/>
      <c r="BA417" s="52"/>
      <c r="BB417" s="52"/>
      <c r="BC417" s="52"/>
      <c r="BD417" s="52"/>
      <c r="BE417" s="52"/>
      <c r="BF417" s="52"/>
      <c r="BG417" s="52"/>
    </row>
    <row r="418">
      <c r="A418" s="52"/>
      <c r="B418" s="52"/>
      <c r="C418" s="50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/>
      <c r="AT418" s="52"/>
      <c r="AU418" s="47"/>
      <c r="AV418" s="52"/>
      <c r="AW418" s="52"/>
      <c r="AX418" s="52"/>
      <c r="AY418" s="52"/>
      <c r="AZ418" s="52"/>
      <c r="BA418" s="52"/>
      <c r="BB418" s="52"/>
      <c r="BC418" s="52"/>
      <c r="BD418" s="52"/>
      <c r="BE418" s="52"/>
      <c r="BF418" s="52"/>
      <c r="BG418" s="52"/>
    </row>
    <row r="419">
      <c r="A419" s="52"/>
      <c r="B419" s="52"/>
      <c r="C419" s="50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/>
      <c r="AT419" s="52"/>
      <c r="AU419" s="47"/>
      <c r="AV419" s="52"/>
      <c r="AW419" s="52"/>
      <c r="AX419" s="52"/>
      <c r="AY419" s="52"/>
      <c r="AZ419" s="52"/>
      <c r="BA419" s="52"/>
      <c r="BB419" s="52"/>
      <c r="BC419" s="52"/>
      <c r="BD419" s="52"/>
      <c r="BE419" s="52"/>
      <c r="BF419" s="52"/>
      <c r="BG419" s="52"/>
    </row>
    <row r="420">
      <c r="A420" s="52"/>
      <c r="B420" s="52"/>
      <c r="C420" s="50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/>
      <c r="AT420" s="52"/>
      <c r="AU420" s="47"/>
      <c r="AV420" s="52"/>
      <c r="AW420" s="52"/>
      <c r="AX420" s="52"/>
      <c r="AY420" s="52"/>
      <c r="AZ420" s="52"/>
      <c r="BA420" s="52"/>
      <c r="BB420" s="52"/>
      <c r="BC420" s="52"/>
      <c r="BD420" s="52"/>
      <c r="BE420" s="52"/>
      <c r="BF420" s="52"/>
      <c r="BG420" s="52"/>
    </row>
    <row r="421">
      <c r="A421" s="52"/>
      <c r="B421" s="52"/>
      <c r="C421" s="50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2"/>
      <c r="AL421" s="52"/>
      <c r="AM421" s="52"/>
      <c r="AN421" s="52"/>
      <c r="AO421" s="52"/>
      <c r="AP421" s="52"/>
      <c r="AQ421" s="52"/>
      <c r="AR421" s="52"/>
      <c r="AS421" s="52"/>
      <c r="AT421" s="52"/>
      <c r="AU421" s="47"/>
      <c r="AV421" s="52"/>
      <c r="AW421" s="52"/>
      <c r="AX421" s="52"/>
      <c r="AY421" s="52"/>
      <c r="AZ421" s="52"/>
      <c r="BA421" s="52"/>
      <c r="BB421" s="52"/>
      <c r="BC421" s="52"/>
      <c r="BD421" s="52"/>
      <c r="BE421" s="52"/>
      <c r="BF421" s="52"/>
      <c r="BG421" s="52"/>
    </row>
    <row r="422">
      <c r="A422" s="52"/>
      <c r="B422" s="52"/>
      <c r="C422" s="50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2"/>
      <c r="AL422" s="52"/>
      <c r="AM422" s="52"/>
      <c r="AN422" s="52"/>
      <c r="AO422" s="52"/>
      <c r="AP422" s="52"/>
      <c r="AQ422" s="52"/>
      <c r="AR422" s="52"/>
      <c r="AS422" s="52"/>
      <c r="AT422" s="52"/>
      <c r="AU422" s="47"/>
      <c r="AV422" s="52"/>
      <c r="AW422" s="52"/>
      <c r="AX422" s="52"/>
      <c r="AY422" s="52"/>
      <c r="AZ422" s="52"/>
      <c r="BA422" s="52"/>
      <c r="BB422" s="52"/>
      <c r="BC422" s="52"/>
      <c r="BD422" s="52"/>
      <c r="BE422" s="52"/>
      <c r="BF422" s="52"/>
      <c r="BG422" s="52"/>
    </row>
    <row r="423">
      <c r="A423" s="52"/>
      <c r="B423" s="52"/>
      <c r="C423" s="50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2"/>
      <c r="AL423" s="52"/>
      <c r="AM423" s="52"/>
      <c r="AN423" s="52"/>
      <c r="AO423" s="52"/>
      <c r="AP423" s="52"/>
      <c r="AQ423" s="52"/>
      <c r="AR423" s="52"/>
      <c r="AS423" s="52"/>
      <c r="AT423" s="52"/>
      <c r="AU423" s="47"/>
      <c r="AV423" s="52"/>
      <c r="AW423" s="52"/>
      <c r="AX423" s="52"/>
      <c r="AY423" s="52"/>
      <c r="AZ423" s="52"/>
      <c r="BA423" s="52"/>
      <c r="BB423" s="52"/>
      <c r="BC423" s="52"/>
      <c r="BD423" s="52"/>
      <c r="BE423" s="52"/>
      <c r="BF423" s="52"/>
      <c r="BG423" s="52"/>
    </row>
    <row r="424">
      <c r="A424" s="52"/>
      <c r="B424" s="52"/>
      <c r="C424" s="50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2"/>
      <c r="AS424" s="52"/>
      <c r="AT424" s="52"/>
      <c r="AU424" s="47"/>
      <c r="AV424" s="52"/>
      <c r="AW424" s="52"/>
      <c r="AX424" s="52"/>
      <c r="AY424" s="52"/>
      <c r="AZ424" s="52"/>
      <c r="BA424" s="52"/>
      <c r="BB424" s="52"/>
      <c r="BC424" s="52"/>
      <c r="BD424" s="52"/>
      <c r="BE424" s="52"/>
      <c r="BF424" s="52"/>
      <c r="BG424" s="52"/>
    </row>
    <row r="425">
      <c r="A425" s="52"/>
      <c r="B425" s="52"/>
      <c r="C425" s="50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2"/>
      <c r="AS425" s="52"/>
      <c r="AT425" s="52"/>
      <c r="AU425" s="47"/>
      <c r="AV425" s="52"/>
      <c r="AW425" s="52"/>
      <c r="AX425" s="52"/>
      <c r="AY425" s="52"/>
      <c r="AZ425" s="52"/>
      <c r="BA425" s="52"/>
      <c r="BB425" s="52"/>
      <c r="BC425" s="52"/>
      <c r="BD425" s="52"/>
      <c r="BE425" s="52"/>
      <c r="BF425" s="52"/>
      <c r="BG425" s="52"/>
    </row>
    <row r="426">
      <c r="A426" s="52"/>
      <c r="B426" s="52"/>
      <c r="C426" s="50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47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</row>
    <row r="427">
      <c r="A427" s="52"/>
      <c r="B427" s="52"/>
      <c r="C427" s="50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2"/>
      <c r="AL427" s="52"/>
      <c r="AM427" s="52"/>
      <c r="AN427" s="52"/>
      <c r="AO427" s="52"/>
      <c r="AP427" s="52"/>
      <c r="AQ427" s="52"/>
      <c r="AR427" s="52"/>
      <c r="AS427" s="52"/>
      <c r="AT427" s="52"/>
      <c r="AU427" s="47"/>
      <c r="AV427" s="52"/>
      <c r="AW427" s="52"/>
      <c r="AX427" s="52"/>
      <c r="AY427" s="52"/>
      <c r="AZ427" s="52"/>
      <c r="BA427" s="52"/>
      <c r="BB427" s="52"/>
      <c r="BC427" s="52"/>
      <c r="BD427" s="52"/>
      <c r="BE427" s="52"/>
      <c r="BF427" s="52"/>
      <c r="BG427" s="52"/>
    </row>
    <row r="428">
      <c r="A428" s="52"/>
      <c r="B428" s="52"/>
      <c r="C428" s="50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/>
      <c r="AT428" s="52"/>
      <c r="AU428" s="47"/>
      <c r="AV428" s="52"/>
      <c r="AW428" s="52"/>
      <c r="AX428" s="52"/>
      <c r="AY428" s="52"/>
      <c r="AZ428" s="52"/>
      <c r="BA428" s="52"/>
      <c r="BB428" s="52"/>
      <c r="BC428" s="52"/>
      <c r="BD428" s="52"/>
      <c r="BE428" s="52"/>
      <c r="BF428" s="52"/>
      <c r="BG428" s="52"/>
    </row>
    <row r="429">
      <c r="A429" s="52"/>
      <c r="B429" s="52"/>
      <c r="C429" s="50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/>
      <c r="AT429" s="52"/>
      <c r="AU429" s="47"/>
      <c r="AV429" s="52"/>
      <c r="AW429" s="52"/>
      <c r="AX429" s="52"/>
      <c r="AY429" s="52"/>
      <c r="AZ429" s="52"/>
      <c r="BA429" s="52"/>
      <c r="BB429" s="52"/>
      <c r="BC429" s="52"/>
      <c r="BD429" s="52"/>
      <c r="BE429" s="52"/>
      <c r="BF429" s="52"/>
      <c r="BG429" s="52"/>
    </row>
    <row r="430">
      <c r="A430" s="52"/>
      <c r="B430" s="52"/>
      <c r="C430" s="50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/>
      <c r="AT430" s="52"/>
      <c r="AU430" s="47"/>
      <c r="AV430" s="52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52"/>
    </row>
    <row r="431">
      <c r="A431" s="52"/>
      <c r="B431" s="52"/>
      <c r="C431" s="50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2"/>
      <c r="AL431" s="52"/>
      <c r="AM431" s="52"/>
      <c r="AN431" s="52"/>
      <c r="AO431" s="52"/>
      <c r="AP431" s="52"/>
      <c r="AQ431" s="52"/>
      <c r="AR431" s="52"/>
      <c r="AS431" s="52"/>
      <c r="AT431" s="52"/>
      <c r="AU431" s="47"/>
      <c r="AV431" s="52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52"/>
    </row>
    <row r="432">
      <c r="A432" s="52"/>
      <c r="B432" s="52"/>
      <c r="C432" s="50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2"/>
      <c r="AL432" s="52"/>
      <c r="AM432" s="52"/>
      <c r="AN432" s="52"/>
      <c r="AO432" s="52"/>
      <c r="AP432" s="52"/>
      <c r="AQ432" s="52"/>
      <c r="AR432" s="52"/>
      <c r="AS432" s="52"/>
      <c r="AT432" s="52"/>
      <c r="AU432" s="47"/>
      <c r="AV432" s="52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52"/>
    </row>
    <row r="433">
      <c r="A433" s="52"/>
      <c r="B433" s="52"/>
      <c r="C433" s="50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2"/>
      <c r="AL433" s="52"/>
      <c r="AM433" s="52"/>
      <c r="AN433" s="52"/>
      <c r="AO433" s="52"/>
      <c r="AP433" s="52"/>
      <c r="AQ433" s="52"/>
      <c r="AR433" s="52"/>
      <c r="AS433" s="52"/>
      <c r="AT433" s="52"/>
      <c r="AU433" s="47"/>
      <c r="AV433" s="52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52"/>
    </row>
    <row r="434">
      <c r="A434" s="52"/>
      <c r="B434" s="52"/>
      <c r="C434" s="50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2"/>
      <c r="AL434" s="52"/>
      <c r="AM434" s="52"/>
      <c r="AN434" s="52"/>
      <c r="AO434" s="52"/>
      <c r="AP434" s="52"/>
      <c r="AQ434" s="52"/>
      <c r="AR434" s="52"/>
      <c r="AS434" s="52"/>
      <c r="AT434" s="52"/>
      <c r="AU434" s="47"/>
      <c r="AV434" s="52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52"/>
    </row>
    <row r="435">
      <c r="A435" s="52"/>
      <c r="B435" s="52"/>
      <c r="C435" s="50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52"/>
      <c r="AM435" s="52"/>
      <c r="AN435" s="52"/>
      <c r="AO435" s="52"/>
      <c r="AP435" s="52"/>
      <c r="AQ435" s="52"/>
      <c r="AR435" s="52"/>
      <c r="AS435" s="52"/>
      <c r="AT435" s="52"/>
      <c r="AU435" s="47"/>
      <c r="AV435" s="52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52"/>
    </row>
    <row r="436">
      <c r="A436" s="52"/>
      <c r="B436" s="52"/>
      <c r="C436" s="50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2"/>
      <c r="AL436" s="52"/>
      <c r="AM436" s="52"/>
      <c r="AN436" s="52"/>
      <c r="AO436" s="52"/>
      <c r="AP436" s="52"/>
      <c r="AQ436" s="52"/>
      <c r="AR436" s="52"/>
      <c r="AS436" s="52"/>
      <c r="AT436" s="52"/>
      <c r="AU436" s="47"/>
      <c r="AV436" s="52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52"/>
    </row>
    <row r="437">
      <c r="A437" s="52"/>
      <c r="B437" s="52"/>
      <c r="C437" s="50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52"/>
      <c r="AM437" s="52"/>
      <c r="AN437" s="52"/>
      <c r="AO437" s="52"/>
      <c r="AP437" s="52"/>
      <c r="AQ437" s="52"/>
      <c r="AR437" s="52"/>
      <c r="AS437" s="52"/>
      <c r="AT437" s="52"/>
      <c r="AU437" s="47"/>
      <c r="AV437" s="52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52"/>
    </row>
    <row r="438">
      <c r="A438" s="52"/>
      <c r="B438" s="52"/>
      <c r="C438" s="50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2"/>
      <c r="AL438" s="52"/>
      <c r="AM438" s="52"/>
      <c r="AN438" s="52"/>
      <c r="AO438" s="52"/>
      <c r="AP438" s="52"/>
      <c r="AQ438" s="52"/>
      <c r="AR438" s="52"/>
      <c r="AS438" s="52"/>
      <c r="AT438" s="52"/>
      <c r="AU438" s="47"/>
      <c r="AV438" s="52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52"/>
    </row>
    <row r="439">
      <c r="A439" s="52"/>
      <c r="B439" s="52"/>
      <c r="C439" s="50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2"/>
      <c r="AL439" s="52"/>
      <c r="AM439" s="52"/>
      <c r="AN439" s="52"/>
      <c r="AO439" s="52"/>
      <c r="AP439" s="52"/>
      <c r="AQ439" s="52"/>
      <c r="AR439" s="52"/>
      <c r="AS439" s="52"/>
      <c r="AT439" s="52"/>
      <c r="AU439" s="47"/>
      <c r="AV439" s="52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52"/>
    </row>
    <row r="440">
      <c r="A440" s="52"/>
      <c r="B440" s="52"/>
      <c r="C440" s="50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52"/>
      <c r="AN440" s="52"/>
      <c r="AO440" s="52"/>
      <c r="AP440" s="52"/>
      <c r="AQ440" s="52"/>
      <c r="AR440" s="52"/>
      <c r="AS440" s="52"/>
      <c r="AT440" s="52"/>
      <c r="AU440" s="47"/>
      <c r="AV440" s="52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52"/>
    </row>
    <row r="441">
      <c r="A441" s="52"/>
      <c r="B441" s="52"/>
      <c r="C441" s="50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2"/>
      <c r="AL441" s="52"/>
      <c r="AM441" s="52"/>
      <c r="AN441" s="52"/>
      <c r="AO441" s="52"/>
      <c r="AP441" s="52"/>
      <c r="AQ441" s="52"/>
      <c r="AR441" s="52"/>
      <c r="AS441" s="52"/>
      <c r="AT441" s="52"/>
      <c r="AU441" s="47"/>
      <c r="AV441" s="52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52"/>
    </row>
    <row r="442">
      <c r="A442" s="52"/>
      <c r="B442" s="52"/>
      <c r="C442" s="50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2"/>
      <c r="AS442" s="52"/>
      <c r="AT442" s="52"/>
      <c r="AU442" s="47"/>
      <c r="AV442" s="52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52"/>
    </row>
    <row r="443">
      <c r="A443" s="52"/>
      <c r="B443" s="52"/>
      <c r="C443" s="50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2"/>
      <c r="AS443" s="52"/>
      <c r="AT443" s="52"/>
      <c r="AU443" s="47"/>
      <c r="AV443" s="52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52"/>
    </row>
    <row r="444">
      <c r="A444" s="52"/>
      <c r="B444" s="52"/>
      <c r="C444" s="50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2"/>
      <c r="AS444" s="52"/>
      <c r="AT444" s="52"/>
      <c r="AU444" s="47"/>
      <c r="AV444" s="52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52"/>
    </row>
    <row r="445">
      <c r="A445" s="52"/>
      <c r="B445" s="52"/>
      <c r="C445" s="50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2"/>
      <c r="AL445" s="52"/>
      <c r="AM445" s="52"/>
      <c r="AN445" s="52"/>
      <c r="AO445" s="52"/>
      <c r="AP445" s="52"/>
      <c r="AQ445" s="52"/>
      <c r="AR445" s="52"/>
      <c r="AS445" s="52"/>
      <c r="AT445" s="52"/>
      <c r="AU445" s="47"/>
      <c r="AV445" s="52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52"/>
    </row>
    <row r="446">
      <c r="A446" s="52"/>
      <c r="B446" s="52"/>
      <c r="C446" s="50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2"/>
      <c r="AL446" s="52"/>
      <c r="AM446" s="52"/>
      <c r="AN446" s="52"/>
      <c r="AO446" s="52"/>
      <c r="AP446" s="52"/>
      <c r="AQ446" s="52"/>
      <c r="AR446" s="52"/>
      <c r="AS446" s="52"/>
      <c r="AT446" s="52"/>
      <c r="AU446" s="47"/>
      <c r="AV446" s="52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52"/>
    </row>
    <row r="447">
      <c r="A447" s="52"/>
      <c r="B447" s="52"/>
      <c r="C447" s="50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/>
      <c r="AT447" s="52"/>
      <c r="AU447" s="47"/>
      <c r="AV447" s="52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52"/>
    </row>
    <row r="448">
      <c r="A448" s="52"/>
      <c r="B448" s="52"/>
      <c r="C448" s="50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2"/>
      <c r="AL448" s="52"/>
      <c r="AM448" s="52"/>
      <c r="AN448" s="52"/>
      <c r="AO448" s="52"/>
      <c r="AP448" s="52"/>
      <c r="AQ448" s="52"/>
      <c r="AR448" s="52"/>
      <c r="AS448" s="52"/>
      <c r="AT448" s="52"/>
      <c r="AU448" s="47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</row>
    <row r="449">
      <c r="A449" s="52"/>
      <c r="B449" s="52"/>
      <c r="C449" s="50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2"/>
      <c r="AL449" s="52"/>
      <c r="AM449" s="52"/>
      <c r="AN449" s="52"/>
      <c r="AO449" s="52"/>
      <c r="AP449" s="52"/>
      <c r="AQ449" s="52"/>
      <c r="AR449" s="52"/>
      <c r="AS449" s="52"/>
      <c r="AT449" s="52"/>
      <c r="AU449" s="47"/>
      <c r="AV449" s="52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52"/>
    </row>
    <row r="450">
      <c r="A450" s="52"/>
      <c r="B450" s="52"/>
      <c r="C450" s="50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2"/>
      <c r="AL450" s="52"/>
      <c r="AM450" s="52"/>
      <c r="AN450" s="52"/>
      <c r="AO450" s="52"/>
      <c r="AP450" s="52"/>
      <c r="AQ450" s="52"/>
      <c r="AR450" s="52"/>
      <c r="AS450" s="52"/>
      <c r="AT450" s="52"/>
      <c r="AU450" s="47"/>
      <c r="AV450" s="52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52"/>
    </row>
    <row r="451">
      <c r="A451" s="52"/>
      <c r="B451" s="52"/>
      <c r="C451" s="50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2"/>
      <c r="AL451" s="52"/>
      <c r="AM451" s="52"/>
      <c r="AN451" s="52"/>
      <c r="AO451" s="52"/>
      <c r="AP451" s="52"/>
      <c r="AQ451" s="52"/>
      <c r="AR451" s="52"/>
      <c r="AS451" s="52"/>
      <c r="AT451" s="52"/>
      <c r="AU451" s="47"/>
      <c r="AV451" s="52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52"/>
    </row>
    <row r="452">
      <c r="A452" s="52"/>
      <c r="B452" s="52"/>
      <c r="C452" s="50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2"/>
      <c r="AL452" s="52"/>
      <c r="AM452" s="52"/>
      <c r="AN452" s="52"/>
      <c r="AO452" s="52"/>
      <c r="AP452" s="52"/>
      <c r="AQ452" s="52"/>
      <c r="AR452" s="52"/>
      <c r="AS452" s="52"/>
      <c r="AT452" s="52"/>
      <c r="AU452" s="47"/>
      <c r="AV452" s="52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52"/>
    </row>
    <row r="453">
      <c r="A453" s="52"/>
      <c r="B453" s="52"/>
      <c r="C453" s="50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2"/>
      <c r="AL453" s="52"/>
      <c r="AM453" s="52"/>
      <c r="AN453" s="52"/>
      <c r="AO453" s="52"/>
      <c r="AP453" s="52"/>
      <c r="AQ453" s="52"/>
      <c r="AR453" s="52"/>
      <c r="AS453" s="52"/>
      <c r="AT453" s="52"/>
      <c r="AU453" s="47"/>
      <c r="AV453" s="52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52"/>
    </row>
    <row r="454">
      <c r="A454" s="52"/>
      <c r="B454" s="52"/>
      <c r="C454" s="50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2"/>
      <c r="AL454" s="52"/>
      <c r="AM454" s="52"/>
      <c r="AN454" s="52"/>
      <c r="AO454" s="52"/>
      <c r="AP454" s="52"/>
      <c r="AQ454" s="52"/>
      <c r="AR454" s="52"/>
      <c r="AS454" s="52"/>
      <c r="AT454" s="52"/>
      <c r="AU454" s="47"/>
      <c r="AV454" s="52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52"/>
    </row>
    <row r="455">
      <c r="A455" s="52"/>
      <c r="B455" s="52"/>
      <c r="C455" s="50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2"/>
      <c r="AL455" s="52"/>
      <c r="AM455" s="52"/>
      <c r="AN455" s="52"/>
      <c r="AO455" s="52"/>
      <c r="AP455" s="52"/>
      <c r="AQ455" s="52"/>
      <c r="AR455" s="52"/>
      <c r="AS455" s="52"/>
      <c r="AT455" s="52"/>
      <c r="AU455" s="47"/>
      <c r="AV455" s="52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52"/>
    </row>
    <row r="456">
      <c r="A456" s="52"/>
      <c r="B456" s="52"/>
      <c r="C456" s="50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/>
      <c r="AT456" s="52"/>
      <c r="AU456" s="47"/>
      <c r="AV456" s="52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52"/>
    </row>
    <row r="457">
      <c r="A457" s="52"/>
      <c r="B457" s="52"/>
      <c r="C457" s="50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/>
      <c r="AT457" s="52"/>
      <c r="AU457" s="47"/>
      <c r="AV457" s="52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52"/>
    </row>
    <row r="458">
      <c r="A458" s="52"/>
      <c r="B458" s="52"/>
      <c r="C458" s="50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2"/>
      <c r="AL458" s="52"/>
      <c r="AM458" s="52"/>
      <c r="AN458" s="52"/>
      <c r="AO458" s="52"/>
      <c r="AP458" s="52"/>
      <c r="AQ458" s="52"/>
      <c r="AR458" s="52"/>
      <c r="AS458" s="52"/>
      <c r="AT458" s="52"/>
      <c r="AU458" s="47"/>
      <c r="AV458" s="52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52"/>
    </row>
    <row r="459">
      <c r="A459" s="52"/>
      <c r="B459" s="52"/>
      <c r="C459" s="50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2"/>
      <c r="AL459" s="52"/>
      <c r="AM459" s="52"/>
      <c r="AN459" s="52"/>
      <c r="AO459" s="52"/>
      <c r="AP459" s="52"/>
      <c r="AQ459" s="52"/>
      <c r="AR459" s="52"/>
      <c r="AS459" s="52"/>
      <c r="AT459" s="52"/>
      <c r="AU459" s="47"/>
      <c r="AV459" s="52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52"/>
    </row>
    <row r="460">
      <c r="A460" s="52"/>
      <c r="B460" s="52"/>
      <c r="C460" s="50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2"/>
      <c r="AS460" s="52"/>
      <c r="AT460" s="52"/>
      <c r="AU460" s="47"/>
      <c r="AV460" s="52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52"/>
    </row>
    <row r="461">
      <c r="A461" s="52"/>
      <c r="B461" s="52"/>
      <c r="C461" s="50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/>
      <c r="AT461" s="52"/>
      <c r="AU461" s="47"/>
      <c r="AV461" s="52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52"/>
    </row>
    <row r="462">
      <c r="A462" s="52"/>
      <c r="B462" s="52"/>
      <c r="C462" s="50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2"/>
      <c r="AS462" s="52"/>
      <c r="AT462" s="52"/>
      <c r="AU462" s="47"/>
      <c r="AV462" s="52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52"/>
    </row>
    <row r="463">
      <c r="A463" s="52"/>
      <c r="B463" s="52"/>
      <c r="C463" s="50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2"/>
      <c r="AL463" s="52"/>
      <c r="AM463" s="52"/>
      <c r="AN463" s="52"/>
      <c r="AO463" s="52"/>
      <c r="AP463" s="52"/>
      <c r="AQ463" s="52"/>
      <c r="AR463" s="52"/>
      <c r="AS463" s="52"/>
      <c r="AT463" s="52"/>
      <c r="AU463" s="47"/>
      <c r="AV463" s="52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52"/>
    </row>
    <row r="464">
      <c r="A464" s="52"/>
      <c r="B464" s="52"/>
      <c r="C464" s="50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/>
      <c r="AT464" s="52"/>
      <c r="AU464" s="47"/>
      <c r="AV464" s="52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52"/>
    </row>
    <row r="465">
      <c r="A465" s="52"/>
      <c r="B465" s="52"/>
      <c r="C465" s="50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/>
      <c r="AT465" s="52"/>
      <c r="AU465" s="47"/>
      <c r="AV465" s="52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52"/>
    </row>
    <row r="466">
      <c r="A466" s="52"/>
      <c r="B466" s="52"/>
      <c r="C466" s="50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/>
      <c r="AT466" s="52"/>
      <c r="AU466" s="47"/>
      <c r="AV466" s="52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52"/>
    </row>
    <row r="467">
      <c r="A467" s="52"/>
      <c r="B467" s="52"/>
      <c r="C467" s="50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2"/>
      <c r="AL467" s="52"/>
      <c r="AM467" s="52"/>
      <c r="AN467" s="52"/>
      <c r="AO467" s="52"/>
      <c r="AP467" s="52"/>
      <c r="AQ467" s="52"/>
      <c r="AR467" s="52"/>
      <c r="AS467" s="52"/>
      <c r="AT467" s="52"/>
      <c r="AU467" s="47"/>
      <c r="AV467" s="52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52"/>
    </row>
    <row r="468">
      <c r="A468" s="52"/>
      <c r="B468" s="52"/>
      <c r="C468" s="50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2"/>
      <c r="AL468" s="52"/>
      <c r="AM468" s="52"/>
      <c r="AN468" s="52"/>
      <c r="AO468" s="52"/>
      <c r="AP468" s="52"/>
      <c r="AQ468" s="52"/>
      <c r="AR468" s="52"/>
      <c r="AS468" s="52"/>
      <c r="AT468" s="52"/>
      <c r="AU468" s="47"/>
      <c r="AV468" s="52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52"/>
    </row>
    <row r="469">
      <c r="A469" s="52"/>
      <c r="B469" s="52"/>
      <c r="C469" s="50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/>
      <c r="AT469" s="52"/>
      <c r="AU469" s="47"/>
      <c r="AV469" s="52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52"/>
    </row>
    <row r="470">
      <c r="A470" s="52"/>
      <c r="B470" s="52"/>
      <c r="C470" s="50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/>
      <c r="AT470" s="52"/>
      <c r="AU470" s="47"/>
      <c r="AV470" s="52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52"/>
    </row>
    <row r="471">
      <c r="A471" s="52"/>
      <c r="B471" s="52"/>
      <c r="C471" s="50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/>
      <c r="AT471" s="52"/>
      <c r="AU471" s="47"/>
      <c r="AV471" s="52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52"/>
    </row>
    <row r="472">
      <c r="A472" s="52"/>
      <c r="B472" s="52"/>
      <c r="C472" s="50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/>
      <c r="AT472" s="52"/>
      <c r="AU472" s="47"/>
      <c r="AV472" s="52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52"/>
    </row>
    <row r="473">
      <c r="A473" s="52"/>
      <c r="B473" s="52"/>
      <c r="C473" s="50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/>
      <c r="AT473" s="52"/>
      <c r="AU473" s="47"/>
      <c r="AV473" s="52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52"/>
    </row>
    <row r="474">
      <c r="A474" s="52"/>
      <c r="B474" s="52"/>
      <c r="C474" s="50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/>
      <c r="AT474" s="52"/>
      <c r="AU474" s="47"/>
      <c r="AV474" s="52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52"/>
    </row>
    <row r="475">
      <c r="A475" s="52"/>
      <c r="B475" s="52"/>
      <c r="C475" s="50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/>
      <c r="AT475" s="52"/>
      <c r="AU475" s="47"/>
      <c r="AV475" s="52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52"/>
    </row>
    <row r="476">
      <c r="A476" s="52"/>
      <c r="B476" s="52"/>
      <c r="C476" s="50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2"/>
      <c r="AL476" s="52"/>
      <c r="AM476" s="52"/>
      <c r="AN476" s="52"/>
      <c r="AO476" s="52"/>
      <c r="AP476" s="52"/>
      <c r="AQ476" s="52"/>
      <c r="AR476" s="52"/>
      <c r="AS476" s="52"/>
      <c r="AT476" s="52"/>
      <c r="AU476" s="47"/>
      <c r="AV476" s="52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52"/>
    </row>
    <row r="477">
      <c r="A477" s="52"/>
      <c r="B477" s="52"/>
      <c r="C477" s="50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2"/>
      <c r="AL477" s="52"/>
      <c r="AM477" s="52"/>
      <c r="AN477" s="52"/>
      <c r="AO477" s="52"/>
      <c r="AP477" s="52"/>
      <c r="AQ477" s="52"/>
      <c r="AR477" s="52"/>
      <c r="AS477" s="52"/>
      <c r="AT477" s="52"/>
      <c r="AU477" s="47"/>
      <c r="AV477" s="52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52"/>
    </row>
    <row r="478">
      <c r="A478" s="52"/>
      <c r="B478" s="52"/>
      <c r="C478" s="50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/>
      <c r="AT478" s="52"/>
      <c r="AU478" s="47"/>
      <c r="AV478" s="52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52"/>
    </row>
    <row r="479">
      <c r="A479" s="52"/>
      <c r="B479" s="52"/>
      <c r="C479" s="50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2"/>
      <c r="AS479" s="52"/>
      <c r="AT479" s="52"/>
      <c r="AU479" s="47"/>
      <c r="AV479" s="52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52"/>
    </row>
    <row r="480">
      <c r="A480" s="52"/>
      <c r="B480" s="52"/>
      <c r="C480" s="50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2"/>
      <c r="AS480" s="52"/>
      <c r="AT480" s="52"/>
      <c r="AU480" s="47"/>
      <c r="AV480" s="52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52"/>
    </row>
    <row r="481">
      <c r="A481" s="52"/>
      <c r="B481" s="52"/>
      <c r="C481" s="50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/>
      <c r="AT481" s="52"/>
      <c r="AU481" s="47"/>
      <c r="AV481" s="52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52"/>
    </row>
    <row r="482">
      <c r="A482" s="52"/>
      <c r="B482" s="52"/>
      <c r="C482" s="50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/>
      <c r="AT482" s="52"/>
      <c r="AU482" s="47"/>
      <c r="AV482" s="52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52"/>
    </row>
    <row r="483">
      <c r="A483" s="52"/>
      <c r="B483" s="52"/>
      <c r="C483" s="50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/>
      <c r="AT483" s="52"/>
      <c r="AU483" s="47"/>
      <c r="AV483" s="52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52"/>
    </row>
    <row r="484">
      <c r="A484" s="52"/>
      <c r="B484" s="52"/>
      <c r="C484" s="50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/>
      <c r="AT484" s="52"/>
      <c r="AU484" s="47"/>
      <c r="AV484" s="52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52"/>
    </row>
    <row r="485">
      <c r="A485" s="52"/>
      <c r="B485" s="52"/>
      <c r="C485" s="50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/>
      <c r="AT485" s="52"/>
      <c r="AU485" s="47"/>
      <c r="AV485" s="52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52"/>
    </row>
    <row r="486">
      <c r="A486" s="52"/>
      <c r="B486" s="52"/>
      <c r="C486" s="50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/>
      <c r="AT486" s="52"/>
      <c r="AU486" s="47"/>
      <c r="AV486" s="52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52"/>
    </row>
    <row r="487">
      <c r="A487" s="52"/>
      <c r="B487" s="52"/>
      <c r="C487" s="50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/>
      <c r="AT487" s="52"/>
      <c r="AU487" s="47"/>
      <c r="AV487" s="52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52"/>
    </row>
    <row r="488">
      <c r="A488" s="52"/>
      <c r="B488" s="52"/>
      <c r="C488" s="50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/>
      <c r="AT488" s="52"/>
      <c r="AU488" s="47"/>
      <c r="AV488" s="52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52"/>
    </row>
    <row r="489">
      <c r="A489" s="52"/>
      <c r="B489" s="52"/>
      <c r="C489" s="50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/>
      <c r="AT489" s="52"/>
      <c r="AU489" s="47"/>
      <c r="AV489" s="52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52"/>
    </row>
    <row r="490">
      <c r="A490" s="52"/>
      <c r="B490" s="52"/>
      <c r="C490" s="50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/>
      <c r="AT490" s="52"/>
      <c r="AU490" s="47"/>
      <c r="AV490" s="52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52"/>
    </row>
    <row r="491">
      <c r="A491" s="52"/>
      <c r="B491" s="52"/>
      <c r="C491" s="50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47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2"/>
    </row>
    <row r="492">
      <c r="A492" s="52"/>
      <c r="B492" s="52"/>
      <c r="C492" s="50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/>
      <c r="AT492" s="52"/>
      <c r="AU492" s="47"/>
      <c r="AV492" s="52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52"/>
    </row>
    <row r="493">
      <c r="A493" s="52"/>
      <c r="B493" s="52"/>
      <c r="C493" s="50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/>
      <c r="AT493" s="52"/>
      <c r="AU493" s="47"/>
      <c r="AV493" s="52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52"/>
    </row>
    <row r="494">
      <c r="A494" s="52"/>
      <c r="B494" s="52"/>
      <c r="C494" s="50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/>
      <c r="AT494" s="52"/>
      <c r="AU494" s="47"/>
      <c r="AV494" s="52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52"/>
    </row>
    <row r="495">
      <c r="A495" s="52"/>
      <c r="B495" s="52"/>
      <c r="C495" s="50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/>
      <c r="AT495" s="52"/>
      <c r="AU495" s="47"/>
      <c r="AV495" s="52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52"/>
    </row>
    <row r="496">
      <c r="A496" s="52"/>
      <c r="B496" s="52"/>
      <c r="C496" s="50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2"/>
      <c r="AS496" s="52"/>
      <c r="AT496" s="52"/>
      <c r="AU496" s="47"/>
      <c r="AV496" s="52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52"/>
    </row>
    <row r="497">
      <c r="A497" s="52"/>
      <c r="B497" s="52"/>
      <c r="C497" s="50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2"/>
      <c r="AS497" s="52"/>
      <c r="AT497" s="52"/>
      <c r="AU497" s="47"/>
      <c r="AV497" s="52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52"/>
    </row>
    <row r="498">
      <c r="A498" s="52"/>
      <c r="B498" s="52"/>
      <c r="C498" s="50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2"/>
      <c r="AS498" s="52"/>
      <c r="AT498" s="52"/>
      <c r="AU498" s="47"/>
      <c r="AV498" s="52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52"/>
    </row>
    <row r="499">
      <c r="A499" s="52"/>
      <c r="B499" s="52"/>
      <c r="C499" s="50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2"/>
      <c r="AL499" s="52"/>
      <c r="AM499" s="52"/>
      <c r="AN499" s="52"/>
      <c r="AO499" s="52"/>
      <c r="AP499" s="52"/>
      <c r="AQ499" s="52"/>
      <c r="AR499" s="52"/>
      <c r="AS499" s="52"/>
      <c r="AT499" s="52"/>
      <c r="AU499" s="47"/>
      <c r="AV499" s="52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52"/>
    </row>
    <row r="500">
      <c r="A500" s="52"/>
      <c r="B500" s="52"/>
      <c r="C500" s="50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2"/>
      <c r="AL500" s="52"/>
      <c r="AM500" s="52"/>
      <c r="AN500" s="52"/>
      <c r="AO500" s="52"/>
      <c r="AP500" s="52"/>
      <c r="AQ500" s="52"/>
      <c r="AR500" s="52"/>
      <c r="AS500" s="52"/>
      <c r="AT500" s="52"/>
      <c r="AU500" s="47"/>
      <c r="AV500" s="52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52"/>
    </row>
    <row r="501">
      <c r="A501" s="52"/>
      <c r="B501" s="52"/>
      <c r="C501" s="50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/>
      <c r="AT501" s="52"/>
      <c r="AU501" s="47"/>
      <c r="AV501" s="52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52"/>
    </row>
    <row r="502">
      <c r="A502" s="52"/>
      <c r="B502" s="52"/>
      <c r="C502" s="50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2"/>
      <c r="AL502" s="52"/>
      <c r="AM502" s="52"/>
      <c r="AN502" s="52"/>
      <c r="AO502" s="52"/>
      <c r="AP502" s="52"/>
      <c r="AQ502" s="52"/>
      <c r="AR502" s="52"/>
      <c r="AS502" s="52"/>
      <c r="AT502" s="52"/>
      <c r="AU502" s="47"/>
      <c r="AV502" s="52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52"/>
    </row>
    <row r="503">
      <c r="A503" s="52"/>
      <c r="B503" s="52"/>
      <c r="C503" s="50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2"/>
      <c r="AL503" s="52"/>
      <c r="AM503" s="52"/>
      <c r="AN503" s="52"/>
      <c r="AO503" s="52"/>
      <c r="AP503" s="52"/>
      <c r="AQ503" s="52"/>
      <c r="AR503" s="52"/>
      <c r="AS503" s="52"/>
      <c r="AT503" s="52"/>
      <c r="AU503" s="47"/>
      <c r="AV503" s="52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52"/>
    </row>
    <row r="504">
      <c r="A504" s="52"/>
      <c r="B504" s="52"/>
      <c r="C504" s="50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/>
      <c r="AT504" s="52"/>
      <c r="AU504" s="47"/>
      <c r="AV504" s="52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52"/>
    </row>
    <row r="505">
      <c r="A505" s="52"/>
      <c r="B505" s="52"/>
      <c r="C505" s="50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/>
      <c r="AT505" s="52"/>
      <c r="AU505" s="47"/>
      <c r="AV505" s="52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52"/>
    </row>
    <row r="506">
      <c r="A506" s="52"/>
      <c r="B506" s="52"/>
      <c r="C506" s="50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/>
      <c r="AT506" s="52"/>
      <c r="AU506" s="47"/>
      <c r="AV506" s="52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52"/>
    </row>
    <row r="507">
      <c r="A507" s="52"/>
      <c r="B507" s="52"/>
      <c r="C507" s="50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2"/>
      <c r="AO507" s="52"/>
      <c r="AP507" s="52"/>
      <c r="AQ507" s="52"/>
      <c r="AR507" s="52"/>
      <c r="AS507" s="52"/>
      <c r="AT507" s="52"/>
      <c r="AU507" s="47"/>
      <c r="AV507" s="52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52"/>
    </row>
    <row r="508">
      <c r="A508" s="52"/>
      <c r="B508" s="52"/>
      <c r="C508" s="50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2"/>
      <c r="AL508" s="52"/>
      <c r="AM508" s="52"/>
      <c r="AN508" s="52"/>
      <c r="AO508" s="52"/>
      <c r="AP508" s="52"/>
      <c r="AQ508" s="52"/>
      <c r="AR508" s="52"/>
      <c r="AS508" s="52"/>
      <c r="AT508" s="52"/>
      <c r="AU508" s="47"/>
      <c r="AV508" s="52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52"/>
    </row>
    <row r="509">
      <c r="A509" s="52"/>
      <c r="B509" s="52"/>
      <c r="C509" s="50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/>
      <c r="AT509" s="52"/>
      <c r="AU509" s="47"/>
      <c r="AV509" s="52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52"/>
    </row>
    <row r="510">
      <c r="A510" s="52"/>
      <c r="B510" s="52"/>
      <c r="C510" s="50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/>
      <c r="AT510" s="52"/>
      <c r="AU510" s="47"/>
      <c r="AV510" s="52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52"/>
    </row>
    <row r="511">
      <c r="A511" s="52"/>
      <c r="B511" s="52"/>
      <c r="C511" s="50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/>
      <c r="AT511" s="52"/>
      <c r="AU511" s="47"/>
      <c r="AV511" s="52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52"/>
    </row>
    <row r="512">
      <c r="A512" s="52"/>
      <c r="B512" s="52"/>
      <c r="C512" s="50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/>
      <c r="AT512" s="52"/>
      <c r="AU512" s="47"/>
      <c r="AV512" s="52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52"/>
    </row>
    <row r="513">
      <c r="A513" s="52"/>
      <c r="B513" s="52"/>
      <c r="C513" s="50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/>
      <c r="AT513" s="52"/>
      <c r="AU513" s="47"/>
      <c r="AV513" s="52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52"/>
    </row>
    <row r="514">
      <c r="A514" s="52"/>
      <c r="B514" s="52"/>
      <c r="C514" s="50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/>
      <c r="AT514" s="52"/>
      <c r="AU514" s="47"/>
      <c r="AV514" s="52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52"/>
    </row>
    <row r="515">
      <c r="A515" s="52"/>
      <c r="B515" s="52"/>
      <c r="C515" s="50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/>
      <c r="AT515" s="52"/>
      <c r="AU515" s="47"/>
      <c r="AV515" s="52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52"/>
    </row>
    <row r="516">
      <c r="A516" s="52"/>
      <c r="B516" s="52"/>
      <c r="C516" s="50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/>
      <c r="AT516" s="52"/>
      <c r="AU516" s="47"/>
      <c r="AV516" s="52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52"/>
    </row>
    <row r="517">
      <c r="A517" s="52"/>
      <c r="B517" s="52"/>
      <c r="C517" s="50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/>
      <c r="AT517" s="52"/>
      <c r="AU517" s="47"/>
      <c r="AV517" s="52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52"/>
    </row>
    <row r="518">
      <c r="A518" s="52"/>
      <c r="B518" s="52"/>
      <c r="C518" s="50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2"/>
      <c r="AL518" s="52"/>
      <c r="AM518" s="52"/>
      <c r="AN518" s="52"/>
      <c r="AO518" s="52"/>
      <c r="AP518" s="52"/>
      <c r="AQ518" s="52"/>
      <c r="AR518" s="52"/>
      <c r="AS518" s="52"/>
      <c r="AT518" s="52"/>
      <c r="AU518" s="47"/>
      <c r="AV518" s="52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52"/>
    </row>
    <row r="519">
      <c r="A519" s="52"/>
      <c r="B519" s="52"/>
      <c r="C519" s="50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2"/>
      <c r="AL519" s="52"/>
      <c r="AM519" s="52"/>
      <c r="AN519" s="52"/>
      <c r="AO519" s="52"/>
      <c r="AP519" s="52"/>
      <c r="AQ519" s="52"/>
      <c r="AR519" s="52"/>
      <c r="AS519" s="52"/>
      <c r="AT519" s="52"/>
      <c r="AU519" s="47"/>
      <c r="AV519" s="52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52"/>
    </row>
    <row r="520">
      <c r="A520" s="52"/>
      <c r="B520" s="52"/>
      <c r="C520" s="50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2"/>
      <c r="AL520" s="52"/>
      <c r="AM520" s="52"/>
      <c r="AN520" s="52"/>
      <c r="AO520" s="52"/>
      <c r="AP520" s="52"/>
      <c r="AQ520" s="52"/>
      <c r="AR520" s="52"/>
      <c r="AS520" s="52"/>
      <c r="AT520" s="52"/>
      <c r="AU520" s="47"/>
      <c r="AV520" s="52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52"/>
    </row>
    <row r="521">
      <c r="A521" s="52"/>
      <c r="B521" s="52"/>
      <c r="C521" s="50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2"/>
      <c r="AL521" s="52"/>
      <c r="AM521" s="52"/>
      <c r="AN521" s="52"/>
      <c r="AO521" s="52"/>
      <c r="AP521" s="52"/>
      <c r="AQ521" s="52"/>
      <c r="AR521" s="52"/>
      <c r="AS521" s="52"/>
      <c r="AT521" s="52"/>
      <c r="AU521" s="47"/>
      <c r="AV521" s="52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52"/>
    </row>
    <row r="522">
      <c r="A522" s="52"/>
      <c r="B522" s="52"/>
      <c r="C522" s="50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2"/>
      <c r="AL522" s="52"/>
      <c r="AM522" s="52"/>
      <c r="AN522" s="52"/>
      <c r="AO522" s="52"/>
      <c r="AP522" s="52"/>
      <c r="AQ522" s="52"/>
      <c r="AR522" s="52"/>
      <c r="AS522" s="52"/>
      <c r="AT522" s="52"/>
      <c r="AU522" s="47"/>
      <c r="AV522" s="52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52"/>
    </row>
    <row r="523">
      <c r="A523" s="52"/>
      <c r="B523" s="52"/>
      <c r="C523" s="50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2"/>
      <c r="AL523" s="52"/>
      <c r="AM523" s="52"/>
      <c r="AN523" s="52"/>
      <c r="AO523" s="52"/>
      <c r="AP523" s="52"/>
      <c r="AQ523" s="52"/>
      <c r="AR523" s="52"/>
      <c r="AS523" s="52"/>
      <c r="AT523" s="52"/>
      <c r="AU523" s="47"/>
      <c r="AV523" s="52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52"/>
    </row>
    <row r="524">
      <c r="A524" s="52"/>
      <c r="B524" s="52"/>
      <c r="C524" s="50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/>
      <c r="AT524" s="52"/>
      <c r="AU524" s="47"/>
      <c r="AV524" s="52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52"/>
    </row>
    <row r="525">
      <c r="A525" s="52"/>
      <c r="B525" s="52"/>
      <c r="C525" s="50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/>
      <c r="AT525" s="52"/>
      <c r="AU525" s="47"/>
      <c r="AV525" s="52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52"/>
    </row>
    <row r="526">
      <c r="A526" s="52"/>
      <c r="B526" s="52"/>
      <c r="C526" s="50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/>
      <c r="AT526" s="52"/>
      <c r="AU526" s="47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</row>
    <row r="527">
      <c r="A527" s="52"/>
      <c r="B527" s="52"/>
      <c r="C527" s="50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2"/>
      <c r="AL527" s="52"/>
      <c r="AM527" s="52"/>
      <c r="AN527" s="52"/>
      <c r="AO527" s="52"/>
      <c r="AP527" s="52"/>
      <c r="AQ527" s="52"/>
      <c r="AR527" s="52"/>
      <c r="AS527" s="52"/>
      <c r="AT527" s="52"/>
      <c r="AU527" s="47"/>
      <c r="AV527" s="52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52"/>
    </row>
    <row r="528">
      <c r="A528" s="52"/>
      <c r="B528" s="52"/>
      <c r="C528" s="50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2"/>
      <c r="AL528" s="52"/>
      <c r="AM528" s="52"/>
      <c r="AN528" s="52"/>
      <c r="AO528" s="52"/>
      <c r="AP528" s="52"/>
      <c r="AQ528" s="52"/>
      <c r="AR528" s="52"/>
      <c r="AS528" s="52"/>
      <c r="AT528" s="52"/>
      <c r="AU528" s="47"/>
      <c r="AV528" s="52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52"/>
    </row>
    <row r="529">
      <c r="A529" s="52"/>
      <c r="B529" s="52"/>
      <c r="C529" s="50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/>
      <c r="AT529" s="52"/>
      <c r="AU529" s="47"/>
      <c r="AV529" s="52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52"/>
    </row>
    <row r="530">
      <c r="A530" s="52"/>
      <c r="B530" s="52"/>
      <c r="C530" s="50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  <c r="AQ530" s="52"/>
      <c r="AR530" s="52"/>
      <c r="AS530" s="52"/>
      <c r="AT530" s="52"/>
      <c r="AU530" s="47"/>
      <c r="AV530" s="52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52"/>
    </row>
    <row r="531">
      <c r="A531" s="52"/>
      <c r="B531" s="52"/>
      <c r="C531" s="50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2"/>
      <c r="AL531" s="52"/>
      <c r="AM531" s="52"/>
      <c r="AN531" s="52"/>
      <c r="AO531" s="52"/>
      <c r="AP531" s="52"/>
      <c r="AQ531" s="52"/>
      <c r="AR531" s="52"/>
      <c r="AS531" s="52"/>
      <c r="AT531" s="52"/>
      <c r="AU531" s="47"/>
      <c r="AV531" s="52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52"/>
    </row>
    <row r="532">
      <c r="A532" s="52"/>
      <c r="B532" s="52"/>
      <c r="C532" s="50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/>
      <c r="AT532" s="52"/>
      <c r="AU532" s="47"/>
      <c r="AV532" s="52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52"/>
    </row>
    <row r="533">
      <c r="A533" s="52"/>
      <c r="B533" s="52"/>
      <c r="C533" s="50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/>
      <c r="AT533" s="52"/>
      <c r="AU533" s="47"/>
      <c r="AV533" s="52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52"/>
    </row>
    <row r="534">
      <c r="A534" s="52"/>
      <c r="B534" s="52"/>
      <c r="C534" s="50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/>
      <c r="AT534" s="52"/>
      <c r="AU534" s="47"/>
      <c r="AV534" s="52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52"/>
    </row>
    <row r="535">
      <c r="A535" s="52"/>
      <c r="B535" s="52"/>
      <c r="C535" s="50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/>
      <c r="AT535" s="52"/>
      <c r="AU535" s="47"/>
      <c r="AV535" s="52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52"/>
    </row>
    <row r="536">
      <c r="A536" s="52"/>
      <c r="B536" s="52"/>
      <c r="C536" s="50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/>
      <c r="AT536" s="52"/>
      <c r="AU536" s="47"/>
      <c r="AV536" s="52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52"/>
    </row>
    <row r="537">
      <c r="A537" s="52"/>
      <c r="B537" s="52"/>
      <c r="C537" s="50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2"/>
      <c r="AL537" s="52"/>
      <c r="AM537" s="52"/>
      <c r="AN537" s="52"/>
      <c r="AO537" s="52"/>
      <c r="AP537" s="52"/>
      <c r="AQ537" s="52"/>
      <c r="AR537" s="52"/>
      <c r="AS537" s="52"/>
      <c r="AT537" s="52"/>
      <c r="AU537" s="47"/>
      <c r="AV537" s="52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52"/>
    </row>
    <row r="538">
      <c r="A538" s="52"/>
      <c r="B538" s="52"/>
      <c r="C538" s="50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47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</row>
    <row r="539">
      <c r="A539" s="52"/>
      <c r="B539" s="52"/>
      <c r="C539" s="50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47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</row>
    <row r="540">
      <c r="A540" s="52"/>
      <c r="B540" s="52"/>
      <c r="C540" s="50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47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</row>
    <row r="541">
      <c r="A541" s="52"/>
      <c r="B541" s="52"/>
      <c r="C541" s="50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47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</row>
    <row r="542">
      <c r="A542" s="52"/>
      <c r="B542" s="52"/>
      <c r="C542" s="50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47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</row>
    <row r="543">
      <c r="A543" s="52"/>
      <c r="B543" s="52"/>
      <c r="C543" s="50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2"/>
      <c r="AL543" s="52"/>
      <c r="AM543" s="52"/>
      <c r="AN543" s="52"/>
      <c r="AO543" s="52"/>
      <c r="AP543" s="52"/>
      <c r="AQ543" s="52"/>
      <c r="AR543" s="52"/>
      <c r="AS543" s="52"/>
      <c r="AT543" s="52"/>
      <c r="AU543" s="47"/>
      <c r="AV543" s="52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52"/>
    </row>
    <row r="544">
      <c r="A544" s="52"/>
      <c r="B544" s="52"/>
      <c r="C544" s="50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2"/>
      <c r="AL544" s="52"/>
      <c r="AM544" s="52"/>
      <c r="AN544" s="52"/>
      <c r="AO544" s="52"/>
      <c r="AP544" s="52"/>
      <c r="AQ544" s="52"/>
      <c r="AR544" s="52"/>
      <c r="AS544" s="52"/>
      <c r="AT544" s="52"/>
      <c r="AU544" s="47"/>
      <c r="AV544" s="52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52"/>
    </row>
    <row r="545">
      <c r="A545" s="52"/>
      <c r="B545" s="52"/>
      <c r="C545" s="50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/>
      <c r="AT545" s="52"/>
      <c r="AU545" s="47"/>
      <c r="AV545" s="52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52"/>
    </row>
    <row r="546">
      <c r="A546" s="52"/>
      <c r="B546" s="52"/>
      <c r="C546" s="50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/>
      <c r="AT546" s="52"/>
      <c r="AU546" s="47"/>
      <c r="AV546" s="52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52"/>
    </row>
    <row r="547">
      <c r="A547" s="52"/>
      <c r="B547" s="52"/>
      <c r="C547" s="50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/>
      <c r="AT547" s="52"/>
      <c r="AU547" s="47"/>
      <c r="AV547" s="52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52"/>
    </row>
    <row r="548">
      <c r="A548" s="52"/>
      <c r="B548" s="52"/>
      <c r="C548" s="50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/>
      <c r="AT548" s="52"/>
      <c r="AU548" s="47"/>
      <c r="AV548" s="52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52"/>
    </row>
    <row r="549">
      <c r="A549" s="52"/>
      <c r="B549" s="52"/>
      <c r="C549" s="50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/>
      <c r="AT549" s="52"/>
      <c r="AU549" s="47"/>
      <c r="AV549" s="52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52"/>
    </row>
    <row r="550">
      <c r="A550" s="52"/>
      <c r="B550" s="52"/>
      <c r="C550" s="50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/>
      <c r="AT550" s="52"/>
      <c r="AU550" s="47"/>
      <c r="AV550" s="52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52"/>
    </row>
    <row r="551">
      <c r="A551" s="52"/>
      <c r="B551" s="52"/>
      <c r="C551" s="50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/>
      <c r="AT551" s="52"/>
      <c r="AU551" s="47"/>
      <c r="AV551" s="52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52"/>
    </row>
    <row r="552">
      <c r="A552" s="52"/>
      <c r="B552" s="52"/>
      <c r="C552" s="50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/>
      <c r="AT552" s="52"/>
      <c r="AU552" s="47"/>
      <c r="AV552" s="52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52"/>
    </row>
    <row r="553">
      <c r="A553" s="52"/>
      <c r="B553" s="52"/>
      <c r="C553" s="50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/>
      <c r="AT553" s="52"/>
      <c r="AU553" s="47"/>
      <c r="AV553" s="52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52"/>
    </row>
    <row r="554">
      <c r="A554" s="52"/>
      <c r="B554" s="52"/>
      <c r="C554" s="50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/>
      <c r="AT554" s="52"/>
      <c r="AU554" s="47"/>
      <c r="AV554" s="52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52"/>
    </row>
    <row r="555">
      <c r="A555" s="52"/>
      <c r="B555" s="52"/>
      <c r="C555" s="50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/>
      <c r="AT555" s="52"/>
      <c r="AU555" s="47"/>
      <c r="AV555" s="52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52"/>
    </row>
    <row r="556">
      <c r="A556" s="52"/>
      <c r="B556" s="52"/>
      <c r="C556" s="50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/>
      <c r="AT556" s="52"/>
      <c r="AU556" s="47"/>
      <c r="AV556" s="52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52"/>
    </row>
    <row r="557">
      <c r="A557" s="52"/>
      <c r="B557" s="52"/>
      <c r="C557" s="50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/>
      <c r="AT557" s="52"/>
      <c r="AU557" s="47"/>
      <c r="AV557" s="52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52"/>
    </row>
    <row r="558">
      <c r="A558" s="52"/>
      <c r="B558" s="52"/>
      <c r="C558" s="50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2"/>
      <c r="AL558" s="52"/>
      <c r="AM558" s="52"/>
      <c r="AN558" s="52"/>
      <c r="AO558" s="52"/>
      <c r="AP558" s="52"/>
      <c r="AQ558" s="52"/>
      <c r="AR558" s="52"/>
      <c r="AS558" s="52"/>
      <c r="AT558" s="52"/>
      <c r="AU558" s="47"/>
      <c r="AV558" s="52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52"/>
    </row>
    <row r="559">
      <c r="A559" s="52"/>
      <c r="B559" s="52"/>
      <c r="C559" s="50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47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</row>
    <row r="560">
      <c r="A560" s="52"/>
      <c r="B560" s="52"/>
      <c r="C560" s="50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2"/>
      <c r="AL560" s="52"/>
      <c r="AM560" s="52"/>
      <c r="AN560" s="52"/>
      <c r="AO560" s="52"/>
      <c r="AP560" s="52"/>
      <c r="AQ560" s="52"/>
      <c r="AR560" s="52"/>
      <c r="AS560" s="52"/>
      <c r="AT560" s="52"/>
      <c r="AU560" s="47"/>
      <c r="AV560" s="52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52"/>
    </row>
    <row r="561">
      <c r="A561" s="52"/>
      <c r="B561" s="52"/>
      <c r="C561" s="50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2"/>
      <c r="AL561" s="52"/>
      <c r="AM561" s="52"/>
      <c r="AN561" s="52"/>
      <c r="AO561" s="52"/>
      <c r="AP561" s="52"/>
      <c r="AQ561" s="52"/>
      <c r="AR561" s="52"/>
      <c r="AS561" s="52"/>
      <c r="AT561" s="52"/>
      <c r="AU561" s="47"/>
      <c r="AV561" s="52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52"/>
    </row>
    <row r="562">
      <c r="A562" s="52"/>
      <c r="B562" s="52"/>
      <c r="C562" s="50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2"/>
      <c r="AL562" s="52"/>
      <c r="AM562" s="52"/>
      <c r="AN562" s="52"/>
      <c r="AO562" s="52"/>
      <c r="AP562" s="52"/>
      <c r="AQ562" s="52"/>
      <c r="AR562" s="52"/>
      <c r="AS562" s="52"/>
      <c r="AT562" s="52"/>
      <c r="AU562" s="47"/>
      <c r="AV562" s="52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52"/>
    </row>
    <row r="563">
      <c r="A563" s="52"/>
      <c r="B563" s="52"/>
      <c r="C563" s="50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2"/>
      <c r="AL563" s="52"/>
      <c r="AM563" s="52"/>
      <c r="AN563" s="52"/>
      <c r="AO563" s="52"/>
      <c r="AP563" s="52"/>
      <c r="AQ563" s="52"/>
      <c r="AR563" s="52"/>
      <c r="AS563" s="52"/>
      <c r="AT563" s="52"/>
      <c r="AU563" s="47"/>
      <c r="AV563" s="52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52"/>
    </row>
    <row r="564">
      <c r="A564" s="52"/>
      <c r="B564" s="52"/>
      <c r="C564" s="50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2"/>
      <c r="AL564" s="52"/>
      <c r="AM564" s="52"/>
      <c r="AN564" s="52"/>
      <c r="AO564" s="52"/>
      <c r="AP564" s="52"/>
      <c r="AQ564" s="52"/>
      <c r="AR564" s="52"/>
      <c r="AS564" s="52"/>
      <c r="AT564" s="52"/>
      <c r="AU564" s="47"/>
      <c r="AV564" s="52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52"/>
    </row>
    <row r="565">
      <c r="A565" s="52"/>
      <c r="B565" s="52"/>
      <c r="C565" s="50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2"/>
      <c r="AL565" s="52"/>
      <c r="AM565" s="52"/>
      <c r="AN565" s="52"/>
      <c r="AO565" s="52"/>
      <c r="AP565" s="52"/>
      <c r="AQ565" s="52"/>
      <c r="AR565" s="52"/>
      <c r="AS565" s="52"/>
      <c r="AT565" s="52"/>
      <c r="AU565" s="47"/>
      <c r="AV565" s="52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52"/>
    </row>
    <row r="566">
      <c r="A566" s="52"/>
      <c r="B566" s="52"/>
      <c r="C566" s="50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2"/>
      <c r="AL566" s="52"/>
      <c r="AM566" s="52"/>
      <c r="AN566" s="52"/>
      <c r="AO566" s="52"/>
      <c r="AP566" s="52"/>
      <c r="AQ566" s="52"/>
      <c r="AR566" s="52"/>
      <c r="AS566" s="52"/>
      <c r="AT566" s="52"/>
      <c r="AU566" s="47"/>
      <c r="AV566" s="52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52"/>
    </row>
    <row r="567">
      <c r="A567" s="52"/>
      <c r="B567" s="52"/>
      <c r="C567" s="50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2"/>
      <c r="AL567" s="52"/>
      <c r="AM567" s="52"/>
      <c r="AN567" s="52"/>
      <c r="AO567" s="52"/>
      <c r="AP567" s="52"/>
      <c r="AQ567" s="52"/>
      <c r="AR567" s="52"/>
      <c r="AS567" s="52"/>
      <c r="AT567" s="52"/>
      <c r="AU567" s="47"/>
      <c r="AV567" s="52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52"/>
    </row>
    <row r="568">
      <c r="A568" s="52"/>
      <c r="B568" s="52"/>
      <c r="C568" s="50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2"/>
      <c r="AS568" s="52"/>
      <c r="AT568" s="52"/>
      <c r="AU568" s="47"/>
      <c r="AV568" s="52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52"/>
    </row>
    <row r="569">
      <c r="A569" s="52"/>
      <c r="B569" s="52"/>
      <c r="C569" s="50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2"/>
      <c r="AS569" s="52"/>
      <c r="AT569" s="52"/>
      <c r="AU569" s="47"/>
      <c r="AV569" s="52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52"/>
    </row>
    <row r="570">
      <c r="A570" s="52"/>
      <c r="B570" s="52"/>
      <c r="C570" s="50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2"/>
      <c r="AS570" s="52"/>
      <c r="AT570" s="52"/>
      <c r="AU570" s="47"/>
      <c r="AV570" s="52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52"/>
    </row>
    <row r="571">
      <c r="A571" s="52"/>
      <c r="B571" s="52"/>
      <c r="C571" s="50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2"/>
      <c r="AL571" s="52"/>
      <c r="AM571" s="52"/>
      <c r="AN571" s="52"/>
      <c r="AO571" s="52"/>
      <c r="AP571" s="52"/>
      <c r="AQ571" s="52"/>
      <c r="AR571" s="52"/>
      <c r="AS571" s="52"/>
      <c r="AT571" s="52"/>
      <c r="AU571" s="47"/>
      <c r="AV571" s="52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52"/>
    </row>
    <row r="572">
      <c r="A572" s="52"/>
      <c r="B572" s="52"/>
      <c r="C572" s="50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2"/>
      <c r="AL572" s="52"/>
      <c r="AM572" s="52"/>
      <c r="AN572" s="52"/>
      <c r="AO572" s="52"/>
      <c r="AP572" s="52"/>
      <c r="AQ572" s="52"/>
      <c r="AR572" s="52"/>
      <c r="AS572" s="52"/>
      <c r="AT572" s="52"/>
      <c r="AU572" s="47"/>
      <c r="AV572" s="52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52"/>
    </row>
    <row r="573">
      <c r="A573" s="52"/>
      <c r="B573" s="52"/>
      <c r="C573" s="50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2"/>
      <c r="AL573" s="52"/>
      <c r="AM573" s="52"/>
      <c r="AN573" s="52"/>
      <c r="AO573" s="52"/>
      <c r="AP573" s="52"/>
      <c r="AQ573" s="52"/>
      <c r="AR573" s="52"/>
      <c r="AS573" s="52"/>
      <c r="AT573" s="52"/>
      <c r="AU573" s="47"/>
      <c r="AV573" s="52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52"/>
    </row>
    <row r="574">
      <c r="A574" s="52"/>
      <c r="B574" s="52"/>
      <c r="C574" s="50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2"/>
      <c r="AL574" s="52"/>
      <c r="AM574" s="52"/>
      <c r="AN574" s="52"/>
      <c r="AO574" s="52"/>
      <c r="AP574" s="52"/>
      <c r="AQ574" s="52"/>
      <c r="AR574" s="52"/>
      <c r="AS574" s="52"/>
      <c r="AT574" s="52"/>
      <c r="AU574" s="47"/>
      <c r="AV574" s="52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52"/>
    </row>
    <row r="575">
      <c r="A575" s="52"/>
      <c r="B575" s="52"/>
      <c r="C575" s="50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/>
      <c r="AT575" s="52"/>
      <c r="AU575" s="47"/>
      <c r="AV575" s="52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52"/>
    </row>
    <row r="576">
      <c r="A576" s="52"/>
      <c r="B576" s="52"/>
      <c r="C576" s="50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/>
      <c r="AT576" s="52"/>
      <c r="AU576" s="47"/>
      <c r="AV576" s="52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52"/>
    </row>
    <row r="577">
      <c r="A577" s="52"/>
      <c r="B577" s="52"/>
      <c r="C577" s="50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/>
      <c r="AT577" s="52"/>
      <c r="AU577" s="47"/>
      <c r="AV577" s="52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52"/>
    </row>
    <row r="578">
      <c r="A578" s="52"/>
      <c r="B578" s="52"/>
      <c r="C578" s="50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/>
      <c r="AT578" s="52"/>
      <c r="AU578" s="47"/>
      <c r="AV578" s="52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52"/>
    </row>
    <row r="579">
      <c r="A579" s="52"/>
      <c r="B579" s="52"/>
      <c r="C579" s="50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/>
      <c r="AT579" s="52"/>
      <c r="AU579" s="47"/>
      <c r="AV579" s="52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52"/>
    </row>
    <row r="580">
      <c r="A580" s="52"/>
      <c r="B580" s="52"/>
      <c r="C580" s="50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/>
      <c r="AT580" s="52"/>
      <c r="AU580" s="47"/>
      <c r="AV580" s="52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52"/>
    </row>
    <row r="581">
      <c r="A581" s="52"/>
      <c r="B581" s="52"/>
      <c r="C581" s="50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2"/>
      <c r="AL581" s="52"/>
      <c r="AM581" s="52"/>
      <c r="AN581" s="52"/>
      <c r="AO581" s="52"/>
      <c r="AP581" s="52"/>
      <c r="AQ581" s="52"/>
      <c r="AR581" s="52"/>
      <c r="AS581" s="52"/>
      <c r="AT581" s="52"/>
      <c r="AU581" s="47"/>
      <c r="AV581" s="52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52"/>
    </row>
    <row r="582">
      <c r="A582" s="52"/>
      <c r="B582" s="52"/>
      <c r="C582" s="50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2"/>
      <c r="AL582" s="52"/>
      <c r="AM582" s="52"/>
      <c r="AN582" s="52"/>
      <c r="AO582" s="52"/>
      <c r="AP582" s="52"/>
      <c r="AQ582" s="52"/>
      <c r="AR582" s="52"/>
      <c r="AS582" s="52"/>
      <c r="AT582" s="52"/>
      <c r="AU582" s="47"/>
      <c r="AV582" s="52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52"/>
    </row>
    <row r="583">
      <c r="A583" s="52"/>
      <c r="B583" s="52"/>
      <c r="C583" s="50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/>
      <c r="AT583" s="52"/>
      <c r="AU583" s="47"/>
      <c r="AV583" s="52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52"/>
    </row>
    <row r="584">
      <c r="A584" s="52"/>
      <c r="B584" s="52"/>
      <c r="C584" s="50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/>
      <c r="AT584" s="52"/>
      <c r="AU584" s="47"/>
      <c r="AV584" s="52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52"/>
    </row>
    <row r="585">
      <c r="A585" s="52"/>
      <c r="B585" s="52"/>
      <c r="C585" s="50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47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</row>
    <row r="586">
      <c r="A586" s="52"/>
      <c r="B586" s="52"/>
      <c r="C586" s="50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/>
      <c r="AT586" s="52"/>
      <c r="AU586" s="47"/>
      <c r="AV586" s="52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52"/>
    </row>
    <row r="587">
      <c r="A587" s="52"/>
      <c r="B587" s="52"/>
      <c r="C587" s="50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/>
      <c r="AT587" s="52"/>
      <c r="AU587" s="47"/>
      <c r="AV587" s="52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52"/>
    </row>
    <row r="588">
      <c r="A588" s="52"/>
      <c r="B588" s="52"/>
      <c r="C588" s="50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/>
      <c r="AT588" s="52"/>
      <c r="AU588" s="47"/>
      <c r="AV588" s="52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52"/>
    </row>
    <row r="589">
      <c r="A589" s="52"/>
      <c r="B589" s="52"/>
      <c r="C589" s="50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/>
      <c r="AT589" s="52"/>
      <c r="AU589" s="47"/>
      <c r="AV589" s="52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52"/>
    </row>
    <row r="590">
      <c r="A590" s="52"/>
      <c r="B590" s="52"/>
      <c r="C590" s="50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/>
      <c r="AT590" s="52"/>
      <c r="AU590" s="47"/>
      <c r="AV590" s="52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52"/>
    </row>
    <row r="591">
      <c r="A591" s="52"/>
      <c r="B591" s="52"/>
      <c r="C591" s="50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/>
      <c r="AT591" s="52"/>
      <c r="AU591" s="47"/>
      <c r="AV591" s="52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52"/>
    </row>
    <row r="592">
      <c r="A592" s="52"/>
      <c r="B592" s="52"/>
      <c r="C592" s="50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/>
      <c r="AT592" s="52"/>
      <c r="AU592" s="47"/>
      <c r="AV592" s="52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52"/>
    </row>
    <row r="593">
      <c r="A593" s="52"/>
      <c r="B593" s="52"/>
      <c r="C593" s="50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/>
      <c r="AT593" s="52"/>
      <c r="AU593" s="47"/>
      <c r="AV593" s="52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52"/>
    </row>
    <row r="594">
      <c r="A594" s="52"/>
      <c r="B594" s="52"/>
      <c r="C594" s="50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/>
      <c r="AT594" s="52"/>
      <c r="AU594" s="47"/>
      <c r="AV594" s="52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52"/>
    </row>
    <row r="595">
      <c r="A595" s="52"/>
      <c r="B595" s="52"/>
      <c r="C595" s="50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/>
      <c r="AT595" s="52"/>
      <c r="AU595" s="47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</row>
    <row r="596">
      <c r="A596" s="52"/>
      <c r="B596" s="52"/>
      <c r="C596" s="50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/>
      <c r="AT596" s="52"/>
      <c r="AU596" s="47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</row>
    <row r="597">
      <c r="A597" s="52"/>
      <c r="B597" s="52"/>
      <c r="C597" s="50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/>
      <c r="AT597" s="52"/>
      <c r="AU597" s="47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</row>
    <row r="598">
      <c r="A598" s="52"/>
      <c r="B598" s="52"/>
      <c r="C598" s="50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/>
      <c r="AT598" s="52"/>
      <c r="AU598" s="47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</row>
    <row r="599">
      <c r="A599" s="52"/>
      <c r="B599" s="52"/>
      <c r="C599" s="50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/>
      <c r="AT599" s="52"/>
      <c r="AU599" s="47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</row>
    <row r="600">
      <c r="A600" s="52"/>
      <c r="B600" s="52"/>
      <c r="C600" s="50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/>
      <c r="AT600" s="52"/>
      <c r="AU600" s="47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</row>
    <row r="601">
      <c r="A601" s="52"/>
      <c r="B601" s="52"/>
      <c r="C601" s="50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/>
      <c r="AT601" s="52"/>
      <c r="AU601" s="47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</row>
    <row r="602">
      <c r="A602" s="52"/>
      <c r="B602" s="52"/>
      <c r="C602" s="50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2"/>
      <c r="AL602" s="52"/>
      <c r="AM602" s="52"/>
      <c r="AN602" s="52"/>
      <c r="AO602" s="52"/>
      <c r="AP602" s="52"/>
      <c r="AQ602" s="52"/>
      <c r="AR602" s="52"/>
      <c r="AS602" s="52"/>
      <c r="AT602" s="52"/>
      <c r="AU602" s="47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</row>
    <row r="603">
      <c r="A603" s="52"/>
      <c r="B603" s="52"/>
      <c r="C603" s="50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2"/>
      <c r="AL603" s="52"/>
      <c r="AM603" s="52"/>
      <c r="AN603" s="52"/>
      <c r="AO603" s="52"/>
      <c r="AP603" s="52"/>
      <c r="AQ603" s="52"/>
      <c r="AR603" s="52"/>
      <c r="AS603" s="52"/>
      <c r="AT603" s="52"/>
      <c r="AU603" s="47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</row>
    <row r="604">
      <c r="A604" s="52"/>
      <c r="B604" s="52"/>
      <c r="C604" s="50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2"/>
      <c r="AS604" s="52"/>
      <c r="AT604" s="52"/>
      <c r="AU604" s="47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</row>
    <row r="605">
      <c r="A605" s="52"/>
      <c r="B605" s="52"/>
      <c r="C605" s="50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2"/>
      <c r="AS605" s="52"/>
      <c r="AT605" s="52"/>
      <c r="AU605" s="47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</row>
    <row r="606">
      <c r="A606" s="52"/>
      <c r="B606" s="52"/>
      <c r="C606" s="50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2"/>
      <c r="AS606" s="52"/>
      <c r="AT606" s="52"/>
      <c r="AU606" s="47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</row>
    <row r="607">
      <c r="A607" s="52"/>
      <c r="B607" s="52"/>
      <c r="C607" s="50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2"/>
      <c r="AL607" s="52"/>
      <c r="AM607" s="52"/>
      <c r="AN607" s="52"/>
      <c r="AO607" s="52"/>
      <c r="AP607" s="52"/>
      <c r="AQ607" s="52"/>
      <c r="AR607" s="52"/>
      <c r="AS607" s="52"/>
      <c r="AT607" s="52"/>
      <c r="AU607" s="47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</row>
    <row r="608">
      <c r="A608" s="52"/>
      <c r="B608" s="52"/>
      <c r="C608" s="50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2"/>
      <c r="AL608" s="52"/>
      <c r="AM608" s="52"/>
      <c r="AN608" s="52"/>
      <c r="AO608" s="52"/>
      <c r="AP608" s="52"/>
      <c r="AQ608" s="52"/>
      <c r="AR608" s="52"/>
      <c r="AS608" s="52"/>
      <c r="AT608" s="52"/>
      <c r="AU608" s="47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</row>
    <row r="609">
      <c r="A609" s="52"/>
      <c r="B609" s="52"/>
      <c r="C609" s="50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2"/>
      <c r="AL609" s="52"/>
      <c r="AM609" s="52"/>
      <c r="AN609" s="52"/>
      <c r="AO609" s="52"/>
      <c r="AP609" s="52"/>
      <c r="AQ609" s="52"/>
      <c r="AR609" s="52"/>
      <c r="AS609" s="52"/>
      <c r="AT609" s="52"/>
      <c r="AU609" s="47"/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</row>
    <row r="610">
      <c r="A610" s="52"/>
      <c r="B610" s="52"/>
      <c r="C610" s="50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2"/>
      <c r="AL610" s="52"/>
      <c r="AM610" s="52"/>
      <c r="AN610" s="52"/>
      <c r="AO610" s="52"/>
      <c r="AP610" s="52"/>
      <c r="AQ610" s="52"/>
      <c r="AR610" s="52"/>
      <c r="AS610" s="52"/>
      <c r="AT610" s="52"/>
      <c r="AU610" s="47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</row>
    <row r="611">
      <c r="A611" s="52"/>
      <c r="B611" s="52"/>
      <c r="C611" s="50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2"/>
      <c r="AL611" s="52"/>
      <c r="AM611" s="52"/>
      <c r="AN611" s="52"/>
      <c r="AO611" s="52"/>
      <c r="AP611" s="52"/>
      <c r="AQ611" s="52"/>
      <c r="AR611" s="52"/>
      <c r="AS611" s="52"/>
      <c r="AT611" s="52"/>
      <c r="AU611" s="47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</row>
    <row r="612">
      <c r="A612" s="52"/>
      <c r="B612" s="52"/>
      <c r="C612" s="50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2"/>
      <c r="AL612" s="52"/>
      <c r="AM612" s="52"/>
      <c r="AN612" s="52"/>
      <c r="AO612" s="52"/>
      <c r="AP612" s="52"/>
      <c r="AQ612" s="52"/>
      <c r="AR612" s="52"/>
      <c r="AS612" s="52"/>
      <c r="AT612" s="52"/>
      <c r="AU612" s="47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</row>
    <row r="613">
      <c r="A613" s="52"/>
      <c r="B613" s="52"/>
      <c r="C613" s="50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/>
      <c r="AT613" s="52"/>
      <c r="AU613" s="47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</row>
    <row r="614">
      <c r="A614" s="52"/>
      <c r="B614" s="52"/>
      <c r="C614" s="50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/>
      <c r="AT614" s="52"/>
      <c r="AU614" s="47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</row>
    <row r="615">
      <c r="A615" s="52"/>
      <c r="B615" s="52"/>
      <c r="C615" s="50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/>
      <c r="AT615" s="52"/>
      <c r="AU615" s="47"/>
      <c r="AV615" s="52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</row>
    <row r="616">
      <c r="A616" s="52"/>
      <c r="B616" s="52"/>
      <c r="C616" s="50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/>
      <c r="AT616" s="52"/>
      <c r="AU616" s="47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</row>
    <row r="617">
      <c r="A617" s="52"/>
      <c r="B617" s="52"/>
      <c r="C617" s="50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2"/>
      <c r="AL617" s="52"/>
      <c r="AM617" s="52"/>
      <c r="AN617" s="52"/>
      <c r="AO617" s="52"/>
      <c r="AP617" s="52"/>
      <c r="AQ617" s="52"/>
      <c r="AR617" s="52"/>
      <c r="AS617" s="52"/>
      <c r="AT617" s="52"/>
      <c r="AU617" s="47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</row>
    <row r="618">
      <c r="A618" s="52"/>
      <c r="B618" s="52"/>
      <c r="C618" s="50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2"/>
      <c r="AL618" s="52"/>
      <c r="AM618" s="52"/>
      <c r="AN618" s="52"/>
      <c r="AO618" s="52"/>
      <c r="AP618" s="52"/>
      <c r="AQ618" s="52"/>
      <c r="AR618" s="52"/>
      <c r="AS618" s="52"/>
      <c r="AT618" s="52"/>
      <c r="AU618" s="47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</row>
    <row r="619">
      <c r="A619" s="52"/>
      <c r="B619" s="52"/>
      <c r="C619" s="50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2"/>
      <c r="AL619" s="52"/>
      <c r="AM619" s="52"/>
      <c r="AN619" s="52"/>
      <c r="AO619" s="52"/>
      <c r="AP619" s="52"/>
      <c r="AQ619" s="52"/>
      <c r="AR619" s="52"/>
      <c r="AS619" s="52"/>
      <c r="AT619" s="52"/>
      <c r="AU619" s="47"/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</row>
    <row r="620">
      <c r="A620" s="52"/>
      <c r="B620" s="52"/>
      <c r="C620" s="50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/>
      <c r="AT620" s="52"/>
      <c r="AU620" s="47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</row>
    <row r="621">
      <c r="A621" s="52"/>
      <c r="B621" s="52"/>
      <c r="C621" s="50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2"/>
      <c r="AL621" s="52"/>
      <c r="AM621" s="52"/>
      <c r="AN621" s="52"/>
      <c r="AO621" s="52"/>
      <c r="AP621" s="52"/>
      <c r="AQ621" s="52"/>
      <c r="AR621" s="52"/>
      <c r="AS621" s="52"/>
      <c r="AT621" s="52"/>
      <c r="AU621" s="47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</row>
    <row r="622">
      <c r="A622" s="52"/>
      <c r="B622" s="52"/>
      <c r="C622" s="50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2"/>
      <c r="AS622" s="52"/>
      <c r="AT622" s="52"/>
      <c r="AU622" s="47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</row>
    <row r="623">
      <c r="A623" s="52"/>
      <c r="B623" s="52"/>
      <c r="C623" s="50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/>
      <c r="AT623" s="52"/>
      <c r="AU623" s="47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</row>
    <row r="624">
      <c r="A624" s="52"/>
      <c r="B624" s="52"/>
      <c r="C624" s="50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/>
      <c r="AT624" s="52"/>
      <c r="AU624" s="47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</row>
    <row r="625">
      <c r="A625" s="52"/>
      <c r="B625" s="52"/>
      <c r="C625" s="50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2"/>
      <c r="AL625" s="52"/>
      <c r="AM625" s="52"/>
      <c r="AN625" s="52"/>
      <c r="AO625" s="52"/>
      <c r="AP625" s="52"/>
      <c r="AQ625" s="52"/>
      <c r="AR625" s="52"/>
      <c r="AS625" s="52"/>
      <c r="AT625" s="52"/>
      <c r="AU625" s="47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</row>
    <row r="626">
      <c r="A626" s="52"/>
      <c r="B626" s="52"/>
      <c r="C626" s="50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2"/>
      <c r="AL626" s="52"/>
      <c r="AM626" s="52"/>
      <c r="AN626" s="52"/>
      <c r="AO626" s="52"/>
      <c r="AP626" s="52"/>
      <c r="AQ626" s="52"/>
      <c r="AR626" s="52"/>
      <c r="AS626" s="52"/>
      <c r="AT626" s="52"/>
      <c r="AU626" s="47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</row>
    <row r="627">
      <c r="A627" s="52"/>
      <c r="B627" s="52"/>
      <c r="C627" s="50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2"/>
      <c r="AL627" s="52"/>
      <c r="AM627" s="52"/>
      <c r="AN627" s="52"/>
      <c r="AO627" s="52"/>
      <c r="AP627" s="52"/>
      <c r="AQ627" s="52"/>
      <c r="AR627" s="52"/>
      <c r="AS627" s="52"/>
      <c r="AT627" s="52"/>
      <c r="AU627" s="47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</row>
    <row r="628">
      <c r="A628" s="52"/>
      <c r="B628" s="52"/>
      <c r="C628" s="50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2"/>
      <c r="AL628" s="52"/>
      <c r="AM628" s="52"/>
      <c r="AN628" s="52"/>
      <c r="AO628" s="52"/>
      <c r="AP628" s="52"/>
      <c r="AQ628" s="52"/>
      <c r="AR628" s="52"/>
      <c r="AS628" s="52"/>
      <c r="AT628" s="52"/>
      <c r="AU628" s="47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</row>
    <row r="629">
      <c r="A629" s="52"/>
      <c r="B629" s="52"/>
      <c r="C629" s="50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2"/>
      <c r="AL629" s="52"/>
      <c r="AM629" s="52"/>
      <c r="AN629" s="52"/>
      <c r="AO629" s="52"/>
      <c r="AP629" s="52"/>
      <c r="AQ629" s="52"/>
      <c r="AR629" s="52"/>
      <c r="AS629" s="52"/>
      <c r="AT629" s="52"/>
      <c r="AU629" s="47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</row>
    <row r="630">
      <c r="A630" s="52"/>
      <c r="B630" s="52"/>
      <c r="C630" s="50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52"/>
      <c r="AN630" s="52"/>
      <c r="AO630" s="52"/>
      <c r="AP630" s="52"/>
      <c r="AQ630" s="52"/>
      <c r="AR630" s="52"/>
      <c r="AS630" s="52"/>
      <c r="AT630" s="52"/>
      <c r="AU630" s="47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</row>
    <row r="631">
      <c r="A631" s="52"/>
      <c r="B631" s="52"/>
      <c r="C631" s="50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/>
      <c r="AT631" s="52"/>
      <c r="AU631" s="47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</row>
    <row r="632">
      <c r="A632" s="52"/>
      <c r="B632" s="52"/>
      <c r="C632" s="50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2"/>
      <c r="AL632" s="52"/>
      <c r="AM632" s="52"/>
      <c r="AN632" s="52"/>
      <c r="AO632" s="52"/>
      <c r="AP632" s="52"/>
      <c r="AQ632" s="52"/>
      <c r="AR632" s="52"/>
      <c r="AS632" s="52"/>
      <c r="AT632" s="52"/>
      <c r="AU632" s="47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</row>
    <row r="633">
      <c r="A633" s="52"/>
      <c r="B633" s="52"/>
      <c r="C633" s="50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2"/>
      <c r="AL633" s="52"/>
      <c r="AM633" s="52"/>
      <c r="AN633" s="52"/>
      <c r="AO633" s="52"/>
      <c r="AP633" s="52"/>
      <c r="AQ633" s="52"/>
      <c r="AR633" s="52"/>
      <c r="AS633" s="52"/>
      <c r="AT633" s="52"/>
      <c r="AU633" s="47"/>
      <c r="AV633" s="52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52"/>
    </row>
    <row r="634">
      <c r="A634" s="52"/>
      <c r="B634" s="52"/>
      <c r="C634" s="50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/>
      <c r="AT634" s="52"/>
      <c r="AU634" s="47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</row>
    <row r="635">
      <c r="A635" s="52"/>
      <c r="B635" s="52"/>
      <c r="C635" s="50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/>
      <c r="AT635" s="52"/>
      <c r="AU635" s="47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</row>
    <row r="636">
      <c r="A636" s="52"/>
      <c r="B636" s="52"/>
      <c r="C636" s="50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/>
      <c r="AT636" s="52"/>
      <c r="AU636" s="47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</row>
    <row r="637">
      <c r="A637" s="52"/>
      <c r="B637" s="52"/>
      <c r="C637" s="50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/>
      <c r="AT637" s="52"/>
      <c r="AU637" s="47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</row>
    <row r="638">
      <c r="A638" s="52"/>
      <c r="B638" s="52"/>
      <c r="C638" s="50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2"/>
      <c r="AL638" s="52"/>
      <c r="AM638" s="52"/>
      <c r="AN638" s="52"/>
      <c r="AO638" s="52"/>
      <c r="AP638" s="52"/>
      <c r="AQ638" s="52"/>
      <c r="AR638" s="52"/>
      <c r="AS638" s="52"/>
      <c r="AT638" s="52"/>
      <c r="AU638" s="47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</row>
    <row r="639">
      <c r="A639" s="52"/>
      <c r="B639" s="52"/>
      <c r="C639" s="50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2"/>
      <c r="AL639" s="52"/>
      <c r="AM639" s="52"/>
      <c r="AN639" s="52"/>
      <c r="AO639" s="52"/>
      <c r="AP639" s="52"/>
      <c r="AQ639" s="52"/>
      <c r="AR639" s="52"/>
      <c r="AS639" s="52"/>
      <c r="AT639" s="52"/>
      <c r="AU639" s="47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</row>
    <row r="640">
      <c r="A640" s="52"/>
      <c r="B640" s="52"/>
      <c r="C640" s="50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2"/>
      <c r="AS640" s="52"/>
      <c r="AT640" s="52"/>
      <c r="AU640" s="47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</row>
    <row r="641">
      <c r="A641" s="52"/>
      <c r="B641" s="52"/>
      <c r="C641" s="50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2"/>
      <c r="AS641" s="52"/>
      <c r="AT641" s="52"/>
      <c r="AU641" s="47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</row>
    <row r="642">
      <c r="A642" s="52"/>
      <c r="B642" s="52"/>
      <c r="C642" s="50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2"/>
      <c r="AS642" s="52"/>
      <c r="AT642" s="52"/>
      <c r="AU642" s="47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</row>
    <row r="643">
      <c r="A643" s="52"/>
      <c r="B643" s="52"/>
      <c r="C643" s="50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2"/>
      <c r="AL643" s="52"/>
      <c r="AM643" s="52"/>
      <c r="AN643" s="52"/>
      <c r="AO643" s="52"/>
      <c r="AP643" s="52"/>
      <c r="AQ643" s="52"/>
      <c r="AR643" s="52"/>
      <c r="AS643" s="52"/>
      <c r="AT643" s="52"/>
      <c r="AU643" s="47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</row>
    <row r="644">
      <c r="A644" s="52"/>
      <c r="B644" s="52"/>
      <c r="C644" s="50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2"/>
      <c r="AL644" s="52"/>
      <c r="AM644" s="52"/>
      <c r="AN644" s="52"/>
      <c r="AO644" s="52"/>
      <c r="AP644" s="52"/>
      <c r="AQ644" s="52"/>
      <c r="AR644" s="52"/>
      <c r="AS644" s="52"/>
      <c r="AT644" s="52"/>
      <c r="AU644" s="47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</row>
    <row r="645">
      <c r="A645" s="52"/>
      <c r="B645" s="52"/>
      <c r="C645" s="50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2"/>
      <c r="AL645" s="52"/>
      <c r="AM645" s="52"/>
      <c r="AN645" s="52"/>
      <c r="AO645" s="52"/>
      <c r="AP645" s="52"/>
      <c r="AQ645" s="52"/>
      <c r="AR645" s="52"/>
      <c r="AS645" s="52"/>
      <c r="AT645" s="52"/>
      <c r="AU645" s="47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</row>
    <row r="646">
      <c r="A646" s="52"/>
      <c r="B646" s="52"/>
      <c r="C646" s="50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2"/>
      <c r="AL646" s="52"/>
      <c r="AM646" s="52"/>
      <c r="AN646" s="52"/>
      <c r="AO646" s="52"/>
      <c r="AP646" s="52"/>
      <c r="AQ646" s="52"/>
      <c r="AR646" s="52"/>
      <c r="AS646" s="52"/>
      <c r="AT646" s="52"/>
      <c r="AU646" s="47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</row>
    <row r="647">
      <c r="A647" s="52"/>
      <c r="B647" s="52"/>
      <c r="C647" s="50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2"/>
      <c r="AL647" s="52"/>
      <c r="AM647" s="52"/>
      <c r="AN647" s="52"/>
      <c r="AO647" s="52"/>
      <c r="AP647" s="52"/>
      <c r="AQ647" s="52"/>
      <c r="AR647" s="52"/>
      <c r="AS647" s="52"/>
      <c r="AT647" s="52"/>
      <c r="AU647" s="47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</row>
    <row r="648">
      <c r="A648" s="52"/>
      <c r="B648" s="52"/>
      <c r="C648" s="50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2"/>
      <c r="AL648" s="52"/>
      <c r="AM648" s="52"/>
      <c r="AN648" s="52"/>
      <c r="AO648" s="52"/>
      <c r="AP648" s="52"/>
      <c r="AQ648" s="52"/>
      <c r="AR648" s="52"/>
      <c r="AS648" s="52"/>
      <c r="AT648" s="52"/>
      <c r="AU648" s="47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</row>
    <row r="649">
      <c r="A649" s="52"/>
      <c r="B649" s="52"/>
      <c r="C649" s="50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2"/>
      <c r="AL649" s="52"/>
      <c r="AM649" s="52"/>
      <c r="AN649" s="52"/>
      <c r="AO649" s="52"/>
      <c r="AP649" s="52"/>
      <c r="AQ649" s="52"/>
      <c r="AR649" s="52"/>
      <c r="AS649" s="52"/>
      <c r="AT649" s="52"/>
      <c r="AU649" s="47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</row>
    <row r="650">
      <c r="A650" s="52"/>
      <c r="B650" s="52"/>
      <c r="C650" s="50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/>
      <c r="AT650" s="52"/>
      <c r="AU650" s="47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</row>
    <row r="651">
      <c r="A651" s="52"/>
      <c r="B651" s="52"/>
      <c r="C651" s="50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/>
      <c r="AT651" s="52"/>
      <c r="AU651" s="47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</row>
    <row r="652">
      <c r="A652" s="52"/>
      <c r="B652" s="52"/>
      <c r="C652" s="50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2"/>
      <c r="AL652" s="52"/>
      <c r="AM652" s="52"/>
      <c r="AN652" s="52"/>
      <c r="AO652" s="52"/>
      <c r="AP652" s="52"/>
      <c r="AQ652" s="52"/>
      <c r="AR652" s="52"/>
      <c r="AS652" s="52"/>
      <c r="AT652" s="52"/>
      <c r="AU652" s="47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</row>
    <row r="653">
      <c r="A653" s="52"/>
      <c r="B653" s="52"/>
      <c r="C653" s="50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2"/>
      <c r="AL653" s="52"/>
      <c r="AM653" s="52"/>
      <c r="AN653" s="52"/>
      <c r="AO653" s="52"/>
      <c r="AP653" s="52"/>
      <c r="AQ653" s="52"/>
      <c r="AR653" s="52"/>
      <c r="AS653" s="52"/>
      <c r="AT653" s="52"/>
      <c r="AU653" s="47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</row>
    <row r="654">
      <c r="A654" s="52"/>
      <c r="B654" s="52"/>
      <c r="C654" s="50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2"/>
      <c r="AL654" s="52"/>
      <c r="AM654" s="52"/>
      <c r="AN654" s="52"/>
      <c r="AO654" s="52"/>
      <c r="AP654" s="52"/>
      <c r="AQ654" s="52"/>
      <c r="AR654" s="52"/>
      <c r="AS654" s="52"/>
      <c r="AT654" s="52"/>
      <c r="AU654" s="47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</row>
    <row r="655">
      <c r="A655" s="52"/>
      <c r="B655" s="52"/>
      <c r="C655" s="50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/>
      <c r="AT655" s="52"/>
      <c r="AU655" s="47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</row>
    <row r="656">
      <c r="A656" s="52"/>
      <c r="B656" s="52"/>
      <c r="C656" s="50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2"/>
      <c r="AL656" s="52"/>
      <c r="AM656" s="52"/>
      <c r="AN656" s="52"/>
      <c r="AO656" s="52"/>
      <c r="AP656" s="52"/>
      <c r="AQ656" s="52"/>
      <c r="AR656" s="52"/>
      <c r="AS656" s="52"/>
      <c r="AT656" s="52"/>
      <c r="AU656" s="47"/>
      <c r="AV656" s="52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52"/>
    </row>
    <row r="657">
      <c r="A657" s="52"/>
      <c r="B657" s="52"/>
      <c r="C657" s="50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2"/>
      <c r="AL657" s="52"/>
      <c r="AM657" s="52"/>
      <c r="AN657" s="52"/>
      <c r="AO657" s="52"/>
      <c r="AP657" s="52"/>
      <c r="AQ657" s="52"/>
      <c r="AR657" s="52"/>
      <c r="AS657" s="52"/>
      <c r="AT657" s="52"/>
      <c r="AU657" s="47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</row>
    <row r="658">
      <c r="A658" s="52"/>
      <c r="B658" s="52"/>
      <c r="C658" s="50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2"/>
      <c r="AS658" s="52"/>
      <c r="AT658" s="52"/>
      <c r="AU658" s="47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</row>
    <row r="659">
      <c r="A659" s="52"/>
      <c r="B659" s="52"/>
      <c r="C659" s="50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2"/>
      <c r="AS659" s="52"/>
      <c r="AT659" s="52"/>
      <c r="AU659" s="47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</row>
    <row r="660">
      <c r="A660" s="52"/>
      <c r="B660" s="52"/>
      <c r="C660" s="50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2"/>
      <c r="AS660" s="52"/>
      <c r="AT660" s="52"/>
      <c r="AU660" s="47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</row>
    <row r="661">
      <c r="A661" s="52"/>
      <c r="B661" s="52"/>
      <c r="C661" s="50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2"/>
      <c r="AL661" s="52"/>
      <c r="AM661" s="52"/>
      <c r="AN661" s="52"/>
      <c r="AO661" s="52"/>
      <c r="AP661" s="52"/>
      <c r="AQ661" s="52"/>
      <c r="AR661" s="52"/>
      <c r="AS661" s="52"/>
      <c r="AT661" s="52"/>
      <c r="AU661" s="47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</row>
    <row r="662">
      <c r="A662" s="52"/>
      <c r="B662" s="52"/>
      <c r="C662" s="50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2"/>
      <c r="AL662" s="52"/>
      <c r="AM662" s="52"/>
      <c r="AN662" s="52"/>
      <c r="AO662" s="52"/>
      <c r="AP662" s="52"/>
      <c r="AQ662" s="52"/>
      <c r="AR662" s="52"/>
      <c r="AS662" s="52"/>
      <c r="AT662" s="52"/>
      <c r="AU662" s="47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</row>
    <row r="663">
      <c r="A663" s="52"/>
      <c r="B663" s="52"/>
      <c r="C663" s="50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2"/>
      <c r="AL663" s="52"/>
      <c r="AM663" s="52"/>
      <c r="AN663" s="52"/>
      <c r="AO663" s="52"/>
      <c r="AP663" s="52"/>
      <c r="AQ663" s="52"/>
      <c r="AR663" s="52"/>
      <c r="AS663" s="52"/>
      <c r="AT663" s="52"/>
      <c r="AU663" s="47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</row>
    <row r="664">
      <c r="A664" s="52"/>
      <c r="B664" s="52"/>
      <c r="C664" s="50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/>
      <c r="AT664" s="52"/>
      <c r="AU664" s="47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</row>
    <row r="665">
      <c r="A665" s="52"/>
      <c r="B665" s="52"/>
      <c r="C665" s="50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2"/>
      <c r="AL665" s="52"/>
      <c r="AM665" s="52"/>
      <c r="AN665" s="52"/>
      <c r="AO665" s="52"/>
      <c r="AP665" s="52"/>
      <c r="AQ665" s="52"/>
      <c r="AR665" s="52"/>
      <c r="AS665" s="52"/>
      <c r="AT665" s="52"/>
      <c r="AU665" s="47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</row>
    <row r="666">
      <c r="A666" s="52"/>
      <c r="B666" s="52"/>
      <c r="C666" s="50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2"/>
      <c r="AL666" s="52"/>
      <c r="AM666" s="52"/>
      <c r="AN666" s="52"/>
      <c r="AO666" s="52"/>
      <c r="AP666" s="52"/>
      <c r="AQ666" s="52"/>
      <c r="AR666" s="52"/>
      <c r="AS666" s="52"/>
      <c r="AT666" s="52"/>
      <c r="AU666" s="47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</row>
    <row r="667">
      <c r="A667" s="52"/>
      <c r="B667" s="52"/>
      <c r="C667" s="50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/>
      <c r="AT667" s="52"/>
      <c r="AU667" s="47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</row>
    <row r="668">
      <c r="A668" s="52"/>
      <c r="B668" s="52"/>
      <c r="C668" s="50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52"/>
      <c r="AN668" s="52"/>
      <c r="AO668" s="52"/>
      <c r="AP668" s="52"/>
      <c r="AQ668" s="52"/>
      <c r="AR668" s="52"/>
      <c r="AS668" s="52"/>
      <c r="AT668" s="52"/>
      <c r="AU668" s="47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</row>
    <row r="669">
      <c r="A669" s="52"/>
      <c r="B669" s="52"/>
      <c r="C669" s="50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2"/>
      <c r="AL669" s="52"/>
      <c r="AM669" s="52"/>
      <c r="AN669" s="52"/>
      <c r="AO669" s="52"/>
      <c r="AP669" s="52"/>
      <c r="AQ669" s="52"/>
      <c r="AR669" s="52"/>
      <c r="AS669" s="52"/>
      <c r="AT669" s="52"/>
      <c r="AU669" s="47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</row>
    <row r="670">
      <c r="A670" s="52"/>
      <c r="B670" s="52"/>
      <c r="C670" s="50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2"/>
      <c r="AL670" s="52"/>
      <c r="AM670" s="52"/>
      <c r="AN670" s="52"/>
      <c r="AO670" s="52"/>
      <c r="AP670" s="52"/>
      <c r="AQ670" s="52"/>
      <c r="AR670" s="52"/>
      <c r="AS670" s="52"/>
      <c r="AT670" s="52"/>
      <c r="AU670" s="47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</row>
    <row r="671">
      <c r="A671" s="52"/>
      <c r="B671" s="52"/>
      <c r="C671" s="50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2"/>
      <c r="AL671" s="52"/>
      <c r="AM671" s="52"/>
      <c r="AN671" s="52"/>
      <c r="AO671" s="52"/>
      <c r="AP671" s="52"/>
      <c r="AQ671" s="52"/>
      <c r="AR671" s="52"/>
      <c r="AS671" s="52"/>
      <c r="AT671" s="52"/>
      <c r="AU671" s="47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</row>
    <row r="672">
      <c r="A672" s="52"/>
      <c r="B672" s="52"/>
      <c r="C672" s="50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2"/>
      <c r="AL672" s="52"/>
      <c r="AM672" s="52"/>
      <c r="AN672" s="52"/>
      <c r="AO672" s="52"/>
      <c r="AP672" s="52"/>
      <c r="AQ672" s="52"/>
      <c r="AR672" s="52"/>
      <c r="AS672" s="52"/>
      <c r="AT672" s="52"/>
      <c r="AU672" s="47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</row>
    <row r="673">
      <c r="A673" s="52"/>
      <c r="B673" s="52"/>
      <c r="C673" s="50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2"/>
      <c r="AL673" s="52"/>
      <c r="AM673" s="52"/>
      <c r="AN673" s="52"/>
      <c r="AO673" s="52"/>
      <c r="AP673" s="52"/>
      <c r="AQ673" s="52"/>
      <c r="AR673" s="52"/>
      <c r="AS673" s="52"/>
      <c r="AT673" s="52"/>
      <c r="AU673" s="47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</row>
    <row r="674">
      <c r="A674" s="52"/>
      <c r="B674" s="52"/>
      <c r="C674" s="50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2"/>
      <c r="AL674" s="52"/>
      <c r="AM674" s="52"/>
      <c r="AN674" s="52"/>
      <c r="AO674" s="52"/>
      <c r="AP674" s="52"/>
      <c r="AQ674" s="52"/>
      <c r="AR674" s="52"/>
      <c r="AS674" s="52"/>
      <c r="AT674" s="52"/>
      <c r="AU674" s="47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</row>
    <row r="675">
      <c r="A675" s="52"/>
      <c r="B675" s="52"/>
      <c r="C675" s="50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2"/>
      <c r="AL675" s="52"/>
      <c r="AM675" s="52"/>
      <c r="AN675" s="52"/>
      <c r="AO675" s="52"/>
      <c r="AP675" s="52"/>
      <c r="AQ675" s="52"/>
      <c r="AR675" s="52"/>
      <c r="AS675" s="52"/>
      <c r="AT675" s="52"/>
      <c r="AU675" s="47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</row>
    <row r="676">
      <c r="A676" s="52"/>
      <c r="B676" s="52"/>
      <c r="C676" s="50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/>
      <c r="AT676" s="52"/>
      <c r="AU676" s="47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</row>
    <row r="677">
      <c r="A677" s="52"/>
      <c r="B677" s="52"/>
      <c r="C677" s="50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2"/>
      <c r="AS677" s="52"/>
      <c r="AT677" s="52"/>
      <c r="AU677" s="47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</row>
    <row r="678">
      <c r="A678" s="52"/>
      <c r="B678" s="52"/>
      <c r="C678" s="50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2"/>
      <c r="AS678" s="52"/>
      <c r="AT678" s="52"/>
      <c r="AU678" s="47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</row>
    <row r="679">
      <c r="A679" s="52"/>
      <c r="B679" s="52"/>
      <c r="C679" s="50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2"/>
      <c r="AL679" s="52"/>
      <c r="AM679" s="52"/>
      <c r="AN679" s="52"/>
      <c r="AO679" s="52"/>
      <c r="AP679" s="52"/>
      <c r="AQ679" s="52"/>
      <c r="AR679" s="52"/>
      <c r="AS679" s="52"/>
      <c r="AT679" s="52"/>
      <c r="AU679" s="47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</row>
    <row r="680">
      <c r="A680" s="52"/>
      <c r="B680" s="52"/>
      <c r="C680" s="50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2"/>
      <c r="AL680" s="52"/>
      <c r="AM680" s="52"/>
      <c r="AN680" s="52"/>
      <c r="AO680" s="52"/>
      <c r="AP680" s="52"/>
      <c r="AQ680" s="52"/>
      <c r="AR680" s="52"/>
      <c r="AS680" s="52"/>
      <c r="AT680" s="52"/>
      <c r="AU680" s="47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</row>
    <row r="681">
      <c r="A681" s="52"/>
      <c r="B681" s="52"/>
      <c r="C681" s="50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2"/>
      <c r="AL681" s="52"/>
      <c r="AM681" s="52"/>
      <c r="AN681" s="52"/>
      <c r="AO681" s="52"/>
      <c r="AP681" s="52"/>
      <c r="AQ681" s="52"/>
      <c r="AR681" s="52"/>
      <c r="AS681" s="52"/>
      <c r="AT681" s="52"/>
      <c r="AU681" s="47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</row>
    <row r="682">
      <c r="A682" s="52"/>
      <c r="B682" s="52"/>
      <c r="C682" s="50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2"/>
      <c r="AL682" s="52"/>
      <c r="AM682" s="52"/>
      <c r="AN682" s="52"/>
      <c r="AO682" s="52"/>
      <c r="AP682" s="52"/>
      <c r="AQ682" s="52"/>
      <c r="AR682" s="52"/>
      <c r="AS682" s="52"/>
      <c r="AT682" s="52"/>
      <c r="AU682" s="47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</row>
    <row r="683">
      <c r="A683" s="52"/>
      <c r="B683" s="52"/>
      <c r="C683" s="50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2"/>
      <c r="AL683" s="52"/>
      <c r="AM683" s="52"/>
      <c r="AN683" s="52"/>
      <c r="AO683" s="52"/>
      <c r="AP683" s="52"/>
      <c r="AQ683" s="52"/>
      <c r="AR683" s="52"/>
      <c r="AS683" s="52"/>
      <c r="AT683" s="52"/>
      <c r="AU683" s="47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</row>
    <row r="684">
      <c r="A684" s="52"/>
      <c r="B684" s="52"/>
      <c r="C684" s="50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2"/>
      <c r="AL684" s="52"/>
      <c r="AM684" s="52"/>
      <c r="AN684" s="52"/>
      <c r="AO684" s="52"/>
      <c r="AP684" s="52"/>
      <c r="AQ684" s="52"/>
      <c r="AR684" s="52"/>
      <c r="AS684" s="52"/>
      <c r="AT684" s="52"/>
      <c r="AU684" s="47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</row>
    <row r="685">
      <c r="A685" s="52"/>
      <c r="B685" s="52"/>
      <c r="C685" s="50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/>
      <c r="AT685" s="52"/>
      <c r="AU685" s="47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</row>
    <row r="686">
      <c r="A686" s="52"/>
      <c r="B686" s="52"/>
      <c r="C686" s="50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2"/>
      <c r="AL686" s="52"/>
      <c r="AM686" s="52"/>
      <c r="AN686" s="52"/>
      <c r="AO686" s="52"/>
      <c r="AP686" s="52"/>
      <c r="AQ686" s="52"/>
      <c r="AR686" s="52"/>
      <c r="AS686" s="52"/>
      <c r="AT686" s="52"/>
      <c r="AU686" s="47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</row>
    <row r="687">
      <c r="A687" s="52"/>
      <c r="B687" s="52"/>
      <c r="C687" s="50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2"/>
      <c r="AL687" s="52"/>
      <c r="AM687" s="52"/>
      <c r="AN687" s="52"/>
      <c r="AO687" s="52"/>
      <c r="AP687" s="52"/>
      <c r="AQ687" s="52"/>
      <c r="AR687" s="52"/>
      <c r="AS687" s="52"/>
      <c r="AT687" s="52"/>
      <c r="AU687" s="47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</row>
    <row r="688">
      <c r="A688" s="52"/>
      <c r="B688" s="52"/>
      <c r="C688" s="50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2"/>
      <c r="AL688" s="52"/>
      <c r="AM688" s="52"/>
      <c r="AN688" s="52"/>
      <c r="AO688" s="52"/>
      <c r="AP688" s="52"/>
      <c r="AQ688" s="52"/>
      <c r="AR688" s="52"/>
      <c r="AS688" s="52"/>
      <c r="AT688" s="52"/>
      <c r="AU688" s="47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</row>
    <row r="689">
      <c r="A689" s="52"/>
      <c r="B689" s="52"/>
      <c r="C689" s="50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2"/>
      <c r="AL689" s="52"/>
      <c r="AM689" s="52"/>
      <c r="AN689" s="52"/>
      <c r="AO689" s="52"/>
      <c r="AP689" s="52"/>
      <c r="AQ689" s="52"/>
      <c r="AR689" s="52"/>
      <c r="AS689" s="52"/>
      <c r="AT689" s="52"/>
      <c r="AU689" s="47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</row>
    <row r="690">
      <c r="A690" s="52"/>
      <c r="B690" s="52"/>
      <c r="C690" s="50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2"/>
      <c r="AL690" s="52"/>
      <c r="AM690" s="52"/>
      <c r="AN690" s="52"/>
      <c r="AO690" s="52"/>
      <c r="AP690" s="52"/>
      <c r="AQ690" s="52"/>
      <c r="AR690" s="52"/>
      <c r="AS690" s="52"/>
      <c r="AT690" s="52"/>
      <c r="AU690" s="47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</row>
    <row r="691">
      <c r="A691" s="52"/>
      <c r="B691" s="52"/>
      <c r="C691" s="50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2"/>
      <c r="AL691" s="52"/>
      <c r="AM691" s="52"/>
      <c r="AN691" s="52"/>
      <c r="AO691" s="52"/>
      <c r="AP691" s="52"/>
      <c r="AQ691" s="52"/>
      <c r="AR691" s="52"/>
      <c r="AS691" s="52"/>
      <c r="AT691" s="52"/>
      <c r="AU691" s="47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</row>
    <row r="692">
      <c r="A692" s="52"/>
      <c r="B692" s="52"/>
      <c r="C692" s="50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2"/>
      <c r="AL692" s="52"/>
      <c r="AM692" s="52"/>
      <c r="AN692" s="52"/>
      <c r="AO692" s="52"/>
      <c r="AP692" s="52"/>
      <c r="AQ692" s="52"/>
      <c r="AR692" s="52"/>
      <c r="AS692" s="52"/>
      <c r="AT692" s="52"/>
      <c r="AU692" s="47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</row>
    <row r="693">
      <c r="A693" s="52"/>
      <c r="B693" s="52"/>
      <c r="C693" s="50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2"/>
      <c r="AL693" s="52"/>
      <c r="AM693" s="52"/>
      <c r="AN693" s="52"/>
      <c r="AO693" s="52"/>
      <c r="AP693" s="52"/>
      <c r="AQ693" s="52"/>
      <c r="AR693" s="52"/>
      <c r="AS693" s="52"/>
      <c r="AT693" s="52"/>
      <c r="AU693" s="47"/>
      <c r="AV693" s="52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52"/>
    </row>
    <row r="694">
      <c r="A694" s="52"/>
      <c r="B694" s="52"/>
      <c r="C694" s="50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2"/>
      <c r="AS694" s="52"/>
      <c r="AT694" s="52"/>
      <c r="AU694" s="47"/>
      <c r="AV694" s="52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52"/>
    </row>
    <row r="695">
      <c r="A695" s="52"/>
      <c r="B695" s="52"/>
      <c r="C695" s="50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2"/>
      <c r="AS695" s="52"/>
      <c r="AT695" s="52"/>
      <c r="AU695" s="47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</row>
    <row r="696">
      <c r="A696" s="52"/>
      <c r="B696" s="52"/>
      <c r="C696" s="50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/>
      <c r="AT696" s="52"/>
      <c r="AU696" s="47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</row>
    <row r="697">
      <c r="A697" s="52"/>
      <c r="B697" s="52"/>
      <c r="C697" s="50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/>
      <c r="AT697" s="52"/>
      <c r="AU697" s="47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</row>
    <row r="698">
      <c r="A698" s="52"/>
      <c r="B698" s="52"/>
      <c r="C698" s="50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/>
      <c r="AT698" s="52"/>
      <c r="AU698" s="47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</row>
    <row r="699">
      <c r="A699" s="52"/>
      <c r="B699" s="52"/>
      <c r="C699" s="50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2"/>
      <c r="AL699" s="52"/>
      <c r="AM699" s="52"/>
      <c r="AN699" s="52"/>
      <c r="AO699" s="52"/>
      <c r="AP699" s="52"/>
      <c r="AQ699" s="52"/>
      <c r="AR699" s="52"/>
      <c r="AS699" s="52"/>
      <c r="AT699" s="52"/>
      <c r="AU699" s="47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</row>
    <row r="700">
      <c r="A700" s="52"/>
      <c r="B700" s="52"/>
      <c r="C700" s="50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2"/>
      <c r="AL700" s="52"/>
      <c r="AM700" s="52"/>
      <c r="AN700" s="52"/>
      <c r="AO700" s="52"/>
      <c r="AP700" s="52"/>
      <c r="AQ700" s="52"/>
      <c r="AR700" s="52"/>
      <c r="AS700" s="52"/>
      <c r="AT700" s="52"/>
      <c r="AU700" s="47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</row>
    <row r="701">
      <c r="A701" s="52"/>
      <c r="B701" s="52"/>
      <c r="C701" s="50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2"/>
      <c r="AL701" s="52"/>
      <c r="AM701" s="52"/>
      <c r="AN701" s="52"/>
      <c r="AO701" s="52"/>
      <c r="AP701" s="52"/>
      <c r="AQ701" s="52"/>
      <c r="AR701" s="52"/>
      <c r="AS701" s="52"/>
      <c r="AT701" s="52"/>
      <c r="AU701" s="47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</row>
    <row r="702">
      <c r="A702" s="52"/>
      <c r="B702" s="52"/>
      <c r="C702" s="50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/>
      <c r="AT702" s="52"/>
      <c r="AU702" s="47"/>
      <c r="AV702" s="52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52"/>
    </row>
    <row r="703">
      <c r="A703" s="52"/>
      <c r="B703" s="52"/>
      <c r="C703" s="50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/>
      <c r="AT703" s="52"/>
      <c r="AU703" s="47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</row>
    <row r="704">
      <c r="A704" s="52"/>
      <c r="B704" s="52"/>
      <c r="C704" s="50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/>
      <c r="AT704" s="52"/>
      <c r="AU704" s="47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</row>
    <row r="705">
      <c r="A705" s="52"/>
      <c r="B705" s="52"/>
      <c r="C705" s="50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/>
      <c r="AT705" s="52"/>
      <c r="AU705" s="47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</row>
    <row r="706">
      <c r="A706" s="52"/>
      <c r="B706" s="52"/>
      <c r="C706" s="50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52"/>
      <c r="AN706" s="52"/>
      <c r="AO706" s="52"/>
      <c r="AP706" s="52"/>
      <c r="AQ706" s="52"/>
      <c r="AR706" s="52"/>
      <c r="AS706" s="52"/>
      <c r="AT706" s="52"/>
      <c r="AU706" s="47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</row>
    <row r="707">
      <c r="A707" s="52"/>
      <c r="B707" s="52"/>
      <c r="C707" s="50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2"/>
      <c r="AL707" s="52"/>
      <c r="AM707" s="52"/>
      <c r="AN707" s="52"/>
      <c r="AO707" s="52"/>
      <c r="AP707" s="52"/>
      <c r="AQ707" s="52"/>
      <c r="AR707" s="52"/>
      <c r="AS707" s="52"/>
      <c r="AT707" s="52"/>
      <c r="AU707" s="47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</row>
    <row r="708">
      <c r="A708" s="52"/>
      <c r="B708" s="52"/>
      <c r="C708" s="50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2"/>
      <c r="AL708" s="52"/>
      <c r="AM708" s="52"/>
      <c r="AN708" s="52"/>
      <c r="AO708" s="52"/>
      <c r="AP708" s="52"/>
      <c r="AQ708" s="52"/>
      <c r="AR708" s="52"/>
      <c r="AS708" s="52"/>
      <c r="AT708" s="52"/>
      <c r="AU708" s="47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</row>
    <row r="709">
      <c r="A709" s="52"/>
      <c r="B709" s="52"/>
      <c r="C709" s="50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2"/>
      <c r="AL709" s="52"/>
      <c r="AM709" s="52"/>
      <c r="AN709" s="52"/>
      <c r="AO709" s="52"/>
      <c r="AP709" s="52"/>
      <c r="AQ709" s="52"/>
      <c r="AR709" s="52"/>
      <c r="AS709" s="52"/>
      <c r="AT709" s="52"/>
      <c r="AU709" s="47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</row>
    <row r="710">
      <c r="A710" s="52"/>
      <c r="B710" s="52"/>
      <c r="C710" s="50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2"/>
      <c r="AL710" s="52"/>
      <c r="AM710" s="52"/>
      <c r="AN710" s="52"/>
      <c r="AO710" s="52"/>
      <c r="AP710" s="52"/>
      <c r="AQ710" s="52"/>
      <c r="AR710" s="52"/>
      <c r="AS710" s="52"/>
      <c r="AT710" s="52"/>
      <c r="AU710" s="47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</row>
    <row r="711">
      <c r="A711" s="52"/>
      <c r="B711" s="52"/>
      <c r="C711" s="50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2"/>
      <c r="AL711" s="52"/>
      <c r="AM711" s="52"/>
      <c r="AN711" s="52"/>
      <c r="AO711" s="52"/>
      <c r="AP711" s="52"/>
      <c r="AQ711" s="52"/>
      <c r="AR711" s="52"/>
      <c r="AS711" s="52"/>
      <c r="AT711" s="52"/>
      <c r="AU711" s="47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</row>
    <row r="712">
      <c r="A712" s="52"/>
      <c r="B712" s="52"/>
      <c r="C712" s="50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2"/>
      <c r="AS712" s="52"/>
      <c r="AT712" s="52"/>
      <c r="AU712" s="47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</row>
    <row r="713">
      <c r="A713" s="52"/>
      <c r="B713" s="52"/>
      <c r="C713" s="50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2"/>
      <c r="AS713" s="52"/>
      <c r="AT713" s="52"/>
      <c r="AU713" s="47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</row>
    <row r="714">
      <c r="A714" s="52"/>
      <c r="B714" s="52"/>
      <c r="C714" s="50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2"/>
      <c r="AS714" s="52"/>
      <c r="AT714" s="52"/>
      <c r="AU714" s="47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</row>
    <row r="715">
      <c r="A715" s="52"/>
      <c r="B715" s="52"/>
      <c r="C715" s="50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/>
      <c r="AT715" s="52"/>
      <c r="AU715" s="47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</row>
    <row r="716">
      <c r="A716" s="52"/>
      <c r="B716" s="52"/>
      <c r="C716" s="50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/>
      <c r="AT716" s="52"/>
      <c r="AU716" s="47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</row>
    <row r="717">
      <c r="A717" s="52"/>
      <c r="B717" s="52"/>
      <c r="C717" s="50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/>
      <c r="AT717" s="52"/>
      <c r="AU717" s="47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</row>
    <row r="718">
      <c r="A718" s="52"/>
      <c r="B718" s="52"/>
      <c r="C718" s="50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/>
      <c r="AT718" s="52"/>
      <c r="AU718" s="47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</row>
    <row r="719">
      <c r="A719" s="52"/>
      <c r="B719" s="52"/>
      <c r="C719" s="50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/>
      <c r="AT719" s="52"/>
      <c r="AU719" s="47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</row>
    <row r="720">
      <c r="A720" s="52"/>
      <c r="B720" s="52"/>
      <c r="C720" s="50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/>
      <c r="AT720" s="52"/>
      <c r="AU720" s="47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</row>
    <row r="721">
      <c r="A721" s="52"/>
      <c r="B721" s="52"/>
      <c r="C721" s="50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/>
      <c r="AT721" s="52"/>
      <c r="AU721" s="47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</row>
    <row r="722">
      <c r="A722" s="52"/>
      <c r="B722" s="52"/>
      <c r="C722" s="50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/>
      <c r="AT722" s="52"/>
      <c r="AU722" s="47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</row>
    <row r="723">
      <c r="A723" s="52"/>
      <c r="B723" s="52"/>
      <c r="C723" s="50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/>
      <c r="AT723" s="52"/>
      <c r="AU723" s="47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</row>
    <row r="724">
      <c r="A724" s="52"/>
      <c r="B724" s="52"/>
      <c r="C724" s="50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/>
      <c r="AT724" s="52"/>
      <c r="AU724" s="47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</row>
    <row r="725">
      <c r="A725" s="52"/>
      <c r="B725" s="52"/>
      <c r="C725" s="50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/>
      <c r="AT725" s="52"/>
      <c r="AU725" s="47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</row>
    <row r="726">
      <c r="A726" s="52"/>
      <c r="B726" s="52"/>
      <c r="C726" s="50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/>
      <c r="AT726" s="52"/>
      <c r="AU726" s="47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</row>
    <row r="727">
      <c r="A727" s="52"/>
      <c r="B727" s="52"/>
      <c r="C727" s="50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/>
      <c r="AT727" s="52"/>
      <c r="AU727" s="47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</row>
    <row r="728">
      <c r="A728" s="52"/>
      <c r="B728" s="52"/>
      <c r="C728" s="50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/>
      <c r="AT728" s="52"/>
      <c r="AU728" s="47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</row>
    <row r="729">
      <c r="A729" s="52"/>
      <c r="B729" s="52"/>
      <c r="C729" s="50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2"/>
      <c r="AL729" s="52"/>
      <c r="AM729" s="52"/>
      <c r="AN729" s="52"/>
      <c r="AO729" s="52"/>
      <c r="AP729" s="52"/>
      <c r="AQ729" s="52"/>
      <c r="AR729" s="52"/>
      <c r="AS729" s="52"/>
      <c r="AT729" s="52"/>
      <c r="AU729" s="47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</row>
    <row r="730">
      <c r="A730" s="52"/>
      <c r="B730" s="52"/>
      <c r="C730" s="50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2"/>
      <c r="AS730" s="52"/>
      <c r="AT730" s="52"/>
      <c r="AU730" s="47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</row>
    <row r="731">
      <c r="A731" s="52"/>
      <c r="B731" s="52"/>
      <c r="C731" s="50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2"/>
      <c r="AS731" s="52"/>
      <c r="AT731" s="52"/>
      <c r="AU731" s="47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</row>
    <row r="732">
      <c r="A732" s="52"/>
      <c r="B732" s="52"/>
      <c r="C732" s="50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2"/>
      <c r="AS732" s="52"/>
      <c r="AT732" s="52"/>
      <c r="AU732" s="47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</row>
    <row r="733">
      <c r="A733" s="52"/>
      <c r="B733" s="52"/>
      <c r="C733" s="50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2"/>
      <c r="AL733" s="52"/>
      <c r="AM733" s="52"/>
      <c r="AN733" s="52"/>
      <c r="AO733" s="52"/>
      <c r="AP733" s="52"/>
      <c r="AQ733" s="52"/>
      <c r="AR733" s="52"/>
      <c r="AS733" s="52"/>
      <c r="AT733" s="52"/>
      <c r="AU733" s="47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</row>
    <row r="734">
      <c r="A734" s="52"/>
      <c r="B734" s="52"/>
      <c r="C734" s="50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2"/>
      <c r="AL734" s="52"/>
      <c r="AM734" s="52"/>
      <c r="AN734" s="52"/>
      <c r="AO734" s="52"/>
      <c r="AP734" s="52"/>
      <c r="AQ734" s="52"/>
      <c r="AR734" s="52"/>
      <c r="AS734" s="52"/>
      <c r="AT734" s="52"/>
      <c r="AU734" s="47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</row>
    <row r="735">
      <c r="A735" s="52"/>
      <c r="B735" s="52"/>
      <c r="C735" s="50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2"/>
      <c r="AL735" s="52"/>
      <c r="AM735" s="52"/>
      <c r="AN735" s="52"/>
      <c r="AO735" s="52"/>
      <c r="AP735" s="52"/>
      <c r="AQ735" s="52"/>
      <c r="AR735" s="52"/>
      <c r="AS735" s="52"/>
      <c r="AT735" s="52"/>
      <c r="AU735" s="47"/>
      <c r="AV735" s="52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52"/>
    </row>
    <row r="736">
      <c r="A736" s="52"/>
      <c r="B736" s="52"/>
      <c r="C736" s="50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2"/>
      <c r="AL736" s="52"/>
      <c r="AM736" s="52"/>
      <c r="AN736" s="52"/>
      <c r="AO736" s="52"/>
      <c r="AP736" s="52"/>
      <c r="AQ736" s="52"/>
      <c r="AR736" s="52"/>
      <c r="AS736" s="52"/>
      <c r="AT736" s="52"/>
      <c r="AU736" s="47"/>
      <c r="AV736" s="52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52"/>
    </row>
    <row r="737">
      <c r="A737" s="52"/>
      <c r="B737" s="52"/>
      <c r="C737" s="50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2"/>
      <c r="AL737" s="52"/>
      <c r="AM737" s="52"/>
      <c r="AN737" s="52"/>
      <c r="AO737" s="52"/>
      <c r="AP737" s="52"/>
      <c r="AQ737" s="52"/>
      <c r="AR737" s="52"/>
      <c r="AS737" s="52"/>
      <c r="AT737" s="52"/>
      <c r="AU737" s="47"/>
      <c r="AV737" s="52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52"/>
    </row>
    <row r="738">
      <c r="A738" s="52"/>
      <c r="B738" s="52"/>
      <c r="C738" s="50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2"/>
      <c r="AL738" s="52"/>
      <c r="AM738" s="52"/>
      <c r="AN738" s="52"/>
      <c r="AO738" s="52"/>
      <c r="AP738" s="52"/>
      <c r="AQ738" s="52"/>
      <c r="AR738" s="52"/>
      <c r="AS738" s="52"/>
      <c r="AT738" s="52"/>
      <c r="AU738" s="47"/>
      <c r="AV738" s="52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52"/>
    </row>
    <row r="739">
      <c r="A739" s="52"/>
      <c r="B739" s="52"/>
      <c r="C739" s="50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2"/>
      <c r="AL739" s="52"/>
      <c r="AM739" s="52"/>
      <c r="AN739" s="52"/>
      <c r="AO739" s="52"/>
      <c r="AP739" s="52"/>
      <c r="AQ739" s="52"/>
      <c r="AR739" s="52"/>
      <c r="AS739" s="52"/>
      <c r="AT739" s="52"/>
      <c r="AU739" s="47"/>
      <c r="AV739" s="52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52"/>
    </row>
    <row r="740">
      <c r="A740" s="52"/>
      <c r="B740" s="52"/>
      <c r="C740" s="50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2"/>
      <c r="AL740" s="52"/>
      <c r="AM740" s="52"/>
      <c r="AN740" s="52"/>
      <c r="AO740" s="52"/>
      <c r="AP740" s="52"/>
      <c r="AQ740" s="52"/>
      <c r="AR740" s="52"/>
      <c r="AS740" s="52"/>
      <c r="AT740" s="52"/>
      <c r="AU740" s="47"/>
      <c r="AV740" s="52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52"/>
    </row>
    <row r="741">
      <c r="A741" s="52"/>
      <c r="B741" s="52"/>
      <c r="C741" s="50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2"/>
      <c r="AL741" s="52"/>
      <c r="AM741" s="52"/>
      <c r="AN741" s="52"/>
      <c r="AO741" s="52"/>
      <c r="AP741" s="52"/>
      <c r="AQ741" s="52"/>
      <c r="AR741" s="52"/>
      <c r="AS741" s="52"/>
      <c r="AT741" s="52"/>
      <c r="AU741" s="47"/>
      <c r="AV741" s="52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52"/>
    </row>
    <row r="742">
      <c r="A742" s="52"/>
      <c r="B742" s="52"/>
      <c r="C742" s="50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/>
      <c r="AT742" s="52"/>
      <c r="AU742" s="47"/>
      <c r="AV742" s="52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52"/>
    </row>
    <row r="743">
      <c r="A743" s="52"/>
      <c r="B743" s="52"/>
      <c r="C743" s="50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/>
      <c r="AT743" s="52"/>
      <c r="AU743" s="47"/>
      <c r="AV743" s="52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52"/>
    </row>
    <row r="744">
      <c r="A744" s="52"/>
      <c r="B744" s="52"/>
      <c r="C744" s="50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/>
      <c r="AT744" s="52"/>
      <c r="AU744" s="47"/>
      <c r="AV744" s="52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52"/>
    </row>
    <row r="745">
      <c r="A745" s="52"/>
      <c r="B745" s="52"/>
      <c r="C745" s="50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2"/>
      <c r="AL745" s="52"/>
      <c r="AM745" s="52"/>
      <c r="AN745" s="52"/>
      <c r="AO745" s="52"/>
      <c r="AP745" s="52"/>
      <c r="AQ745" s="52"/>
      <c r="AR745" s="52"/>
      <c r="AS745" s="52"/>
      <c r="AT745" s="52"/>
      <c r="AU745" s="47"/>
      <c r="AV745" s="52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52"/>
    </row>
    <row r="746">
      <c r="A746" s="52"/>
      <c r="B746" s="52"/>
      <c r="C746" s="50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2"/>
      <c r="AL746" s="52"/>
      <c r="AM746" s="52"/>
      <c r="AN746" s="52"/>
      <c r="AO746" s="52"/>
      <c r="AP746" s="52"/>
      <c r="AQ746" s="52"/>
      <c r="AR746" s="52"/>
      <c r="AS746" s="52"/>
      <c r="AT746" s="52"/>
      <c r="AU746" s="47"/>
      <c r="AV746" s="52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52"/>
    </row>
    <row r="747">
      <c r="A747" s="52"/>
      <c r="B747" s="52"/>
      <c r="C747" s="50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2"/>
      <c r="AL747" s="52"/>
      <c r="AM747" s="52"/>
      <c r="AN747" s="52"/>
      <c r="AO747" s="52"/>
      <c r="AP747" s="52"/>
      <c r="AQ747" s="52"/>
      <c r="AR747" s="52"/>
      <c r="AS747" s="52"/>
      <c r="AT747" s="52"/>
      <c r="AU747" s="47"/>
      <c r="AV747" s="52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52"/>
    </row>
    <row r="748">
      <c r="A748" s="52"/>
      <c r="B748" s="52"/>
      <c r="C748" s="50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/>
      <c r="AT748" s="52"/>
      <c r="AU748" s="47"/>
      <c r="AV748" s="52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52"/>
    </row>
    <row r="749">
      <c r="A749" s="52"/>
      <c r="B749" s="52"/>
      <c r="C749" s="50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2"/>
      <c r="AS749" s="52"/>
      <c r="AT749" s="52"/>
      <c r="AU749" s="47"/>
      <c r="AV749" s="52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52"/>
    </row>
    <row r="750">
      <c r="A750" s="52"/>
      <c r="B750" s="52"/>
      <c r="C750" s="50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2"/>
      <c r="AS750" s="52"/>
      <c r="AT750" s="52"/>
      <c r="AU750" s="47"/>
      <c r="AV750" s="52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52"/>
    </row>
    <row r="751">
      <c r="A751" s="52"/>
      <c r="B751" s="52"/>
      <c r="C751" s="50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/>
      <c r="AT751" s="52"/>
      <c r="AU751" s="47"/>
      <c r="AV751" s="52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52"/>
    </row>
    <row r="752">
      <c r="A752" s="52"/>
      <c r="B752" s="52"/>
      <c r="C752" s="50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/>
      <c r="AT752" s="52"/>
      <c r="AU752" s="47"/>
      <c r="AV752" s="52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52"/>
    </row>
    <row r="753">
      <c r="A753" s="52"/>
      <c r="B753" s="52"/>
      <c r="C753" s="50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/>
      <c r="AT753" s="52"/>
      <c r="AU753" s="47"/>
      <c r="AV753" s="52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52"/>
    </row>
    <row r="754">
      <c r="A754" s="52"/>
      <c r="B754" s="52"/>
      <c r="C754" s="50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/>
      <c r="AT754" s="52"/>
      <c r="AU754" s="47"/>
      <c r="AV754" s="52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52"/>
    </row>
    <row r="755">
      <c r="A755" s="52"/>
      <c r="B755" s="52"/>
      <c r="C755" s="50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/>
      <c r="AT755" s="52"/>
      <c r="AU755" s="47"/>
      <c r="AV755" s="52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52"/>
    </row>
    <row r="756">
      <c r="A756" s="52"/>
      <c r="B756" s="52"/>
      <c r="C756" s="50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/>
      <c r="AT756" s="52"/>
      <c r="AU756" s="47"/>
      <c r="AV756" s="52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52"/>
    </row>
    <row r="757">
      <c r="A757" s="52"/>
      <c r="B757" s="52"/>
      <c r="C757" s="50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2"/>
      <c r="AL757" s="52"/>
      <c r="AM757" s="52"/>
      <c r="AN757" s="52"/>
      <c r="AO757" s="52"/>
      <c r="AP757" s="52"/>
      <c r="AQ757" s="52"/>
      <c r="AR757" s="52"/>
      <c r="AS757" s="52"/>
      <c r="AT757" s="52"/>
      <c r="AU757" s="47"/>
      <c r="AV757" s="52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52"/>
    </row>
    <row r="758">
      <c r="A758" s="52"/>
      <c r="B758" s="52"/>
      <c r="C758" s="50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2"/>
      <c r="AL758" s="52"/>
      <c r="AM758" s="52"/>
      <c r="AN758" s="52"/>
      <c r="AO758" s="52"/>
      <c r="AP758" s="52"/>
      <c r="AQ758" s="52"/>
      <c r="AR758" s="52"/>
      <c r="AS758" s="52"/>
      <c r="AT758" s="52"/>
      <c r="AU758" s="47"/>
      <c r="AV758" s="52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52"/>
    </row>
    <row r="759">
      <c r="A759" s="52"/>
      <c r="B759" s="52"/>
      <c r="C759" s="50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2"/>
      <c r="AL759" s="52"/>
      <c r="AM759" s="52"/>
      <c r="AN759" s="52"/>
      <c r="AO759" s="52"/>
      <c r="AP759" s="52"/>
      <c r="AQ759" s="52"/>
      <c r="AR759" s="52"/>
      <c r="AS759" s="52"/>
      <c r="AT759" s="52"/>
      <c r="AU759" s="47"/>
      <c r="AV759" s="52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52"/>
    </row>
    <row r="760">
      <c r="A760" s="52"/>
      <c r="B760" s="52"/>
      <c r="C760" s="50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2"/>
      <c r="AL760" s="52"/>
      <c r="AM760" s="52"/>
      <c r="AN760" s="52"/>
      <c r="AO760" s="52"/>
      <c r="AP760" s="52"/>
      <c r="AQ760" s="52"/>
      <c r="AR760" s="52"/>
      <c r="AS760" s="52"/>
      <c r="AT760" s="52"/>
      <c r="AU760" s="47"/>
      <c r="AV760" s="52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52"/>
    </row>
    <row r="761">
      <c r="A761" s="52"/>
      <c r="B761" s="52"/>
      <c r="C761" s="50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2"/>
      <c r="AL761" s="52"/>
      <c r="AM761" s="52"/>
      <c r="AN761" s="52"/>
      <c r="AO761" s="52"/>
      <c r="AP761" s="52"/>
      <c r="AQ761" s="52"/>
      <c r="AR761" s="52"/>
      <c r="AS761" s="52"/>
      <c r="AT761" s="52"/>
      <c r="AU761" s="47"/>
      <c r="AV761" s="52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52"/>
    </row>
    <row r="762">
      <c r="A762" s="52"/>
      <c r="B762" s="52"/>
      <c r="C762" s="50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2"/>
      <c r="AL762" s="52"/>
      <c r="AM762" s="52"/>
      <c r="AN762" s="52"/>
      <c r="AO762" s="52"/>
      <c r="AP762" s="52"/>
      <c r="AQ762" s="52"/>
      <c r="AR762" s="52"/>
      <c r="AS762" s="52"/>
      <c r="AT762" s="52"/>
      <c r="AU762" s="47"/>
      <c r="AV762" s="52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52"/>
    </row>
    <row r="763">
      <c r="A763" s="52"/>
      <c r="B763" s="52"/>
      <c r="C763" s="50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2"/>
      <c r="AL763" s="52"/>
      <c r="AM763" s="52"/>
      <c r="AN763" s="52"/>
      <c r="AO763" s="52"/>
      <c r="AP763" s="52"/>
      <c r="AQ763" s="52"/>
      <c r="AR763" s="52"/>
      <c r="AS763" s="52"/>
      <c r="AT763" s="52"/>
      <c r="AU763" s="47"/>
      <c r="AV763" s="52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52"/>
    </row>
    <row r="764">
      <c r="A764" s="52"/>
      <c r="B764" s="52"/>
      <c r="C764" s="50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2"/>
      <c r="AL764" s="52"/>
      <c r="AM764" s="52"/>
      <c r="AN764" s="52"/>
      <c r="AO764" s="52"/>
      <c r="AP764" s="52"/>
      <c r="AQ764" s="52"/>
      <c r="AR764" s="52"/>
      <c r="AS764" s="52"/>
      <c r="AT764" s="52"/>
      <c r="AU764" s="47"/>
      <c r="AV764" s="52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52"/>
    </row>
    <row r="765">
      <c r="A765" s="52"/>
      <c r="B765" s="52"/>
      <c r="C765" s="50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/>
      <c r="AT765" s="52"/>
      <c r="AU765" s="47"/>
      <c r="AV765" s="52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52"/>
    </row>
    <row r="766">
      <c r="A766" s="52"/>
      <c r="B766" s="52"/>
      <c r="C766" s="50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2"/>
      <c r="AS766" s="52"/>
      <c r="AT766" s="52"/>
      <c r="AU766" s="47"/>
      <c r="AV766" s="52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52"/>
    </row>
    <row r="767">
      <c r="A767" s="52"/>
      <c r="B767" s="52"/>
      <c r="C767" s="50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2"/>
      <c r="AS767" s="52"/>
      <c r="AT767" s="52"/>
      <c r="AU767" s="47"/>
      <c r="AV767" s="52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52"/>
    </row>
    <row r="768">
      <c r="A768" s="52"/>
      <c r="B768" s="52"/>
      <c r="C768" s="50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/>
      <c r="AT768" s="52"/>
      <c r="AU768" s="47"/>
      <c r="AV768" s="52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52"/>
    </row>
    <row r="769">
      <c r="A769" s="52"/>
      <c r="B769" s="52"/>
      <c r="C769" s="50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/>
      <c r="AT769" s="52"/>
      <c r="AU769" s="47"/>
      <c r="AV769" s="52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52"/>
    </row>
    <row r="770">
      <c r="A770" s="52"/>
      <c r="B770" s="52"/>
      <c r="C770" s="50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/>
      <c r="AT770" s="52"/>
      <c r="AU770" s="47"/>
      <c r="AV770" s="52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52"/>
    </row>
    <row r="771">
      <c r="A771" s="52"/>
      <c r="B771" s="52"/>
      <c r="C771" s="50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/>
      <c r="AT771" s="52"/>
      <c r="AU771" s="47"/>
      <c r="AV771" s="52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52"/>
    </row>
    <row r="772">
      <c r="A772" s="52"/>
      <c r="B772" s="52"/>
      <c r="C772" s="50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/>
      <c r="AT772" s="52"/>
      <c r="AU772" s="47"/>
      <c r="AV772" s="52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52"/>
    </row>
    <row r="773">
      <c r="A773" s="52"/>
      <c r="B773" s="52"/>
      <c r="C773" s="50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/>
      <c r="AT773" s="52"/>
      <c r="AU773" s="47"/>
      <c r="AV773" s="52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52"/>
    </row>
    <row r="774">
      <c r="A774" s="52"/>
      <c r="B774" s="52"/>
      <c r="C774" s="50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/>
      <c r="AT774" s="52"/>
      <c r="AU774" s="47"/>
      <c r="AV774" s="52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52"/>
    </row>
    <row r="775">
      <c r="A775" s="52"/>
      <c r="B775" s="52"/>
      <c r="C775" s="50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2"/>
      <c r="AL775" s="52"/>
      <c r="AM775" s="52"/>
      <c r="AN775" s="52"/>
      <c r="AO775" s="52"/>
      <c r="AP775" s="52"/>
      <c r="AQ775" s="52"/>
      <c r="AR775" s="52"/>
      <c r="AS775" s="52"/>
      <c r="AT775" s="52"/>
      <c r="AU775" s="47"/>
      <c r="AV775" s="52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52"/>
    </row>
    <row r="776">
      <c r="A776" s="52"/>
      <c r="B776" s="52"/>
      <c r="C776" s="50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2"/>
      <c r="AL776" s="52"/>
      <c r="AM776" s="52"/>
      <c r="AN776" s="52"/>
      <c r="AO776" s="52"/>
      <c r="AP776" s="52"/>
      <c r="AQ776" s="52"/>
      <c r="AR776" s="52"/>
      <c r="AS776" s="52"/>
      <c r="AT776" s="52"/>
      <c r="AU776" s="47"/>
      <c r="AV776" s="52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52"/>
    </row>
    <row r="777">
      <c r="A777" s="52"/>
      <c r="B777" s="52"/>
      <c r="C777" s="50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/>
      <c r="AT777" s="52"/>
      <c r="AU777" s="47"/>
      <c r="AV777" s="52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52"/>
    </row>
    <row r="778">
      <c r="A778" s="52"/>
      <c r="B778" s="52"/>
      <c r="C778" s="50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/>
      <c r="AT778" s="52"/>
      <c r="AU778" s="47"/>
      <c r="AV778" s="52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52"/>
    </row>
    <row r="779">
      <c r="A779" s="52"/>
      <c r="B779" s="52"/>
      <c r="C779" s="50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2"/>
      <c r="AL779" s="52"/>
      <c r="AM779" s="52"/>
      <c r="AN779" s="52"/>
      <c r="AO779" s="52"/>
      <c r="AP779" s="52"/>
      <c r="AQ779" s="52"/>
      <c r="AR779" s="52"/>
      <c r="AS779" s="52"/>
      <c r="AT779" s="52"/>
      <c r="AU779" s="47"/>
      <c r="AV779" s="52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52"/>
    </row>
    <row r="780">
      <c r="A780" s="52"/>
      <c r="B780" s="52"/>
      <c r="C780" s="50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2"/>
      <c r="AL780" s="52"/>
      <c r="AM780" s="52"/>
      <c r="AN780" s="52"/>
      <c r="AO780" s="52"/>
      <c r="AP780" s="52"/>
      <c r="AQ780" s="52"/>
      <c r="AR780" s="52"/>
      <c r="AS780" s="52"/>
      <c r="AT780" s="52"/>
      <c r="AU780" s="47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</row>
    <row r="781">
      <c r="A781" s="52"/>
      <c r="B781" s="52"/>
      <c r="C781" s="50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2"/>
      <c r="AL781" s="52"/>
      <c r="AM781" s="52"/>
      <c r="AN781" s="52"/>
      <c r="AO781" s="52"/>
      <c r="AP781" s="52"/>
      <c r="AQ781" s="52"/>
      <c r="AR781" s="52"/>
      <c r="AS781" s="52"/>
      <c r="AT781" s="52"/>
      <c r="AU781" s="47"/>
      <c r="AV781" s="52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52"/>
    </row>
    <row r="782">
      <c r="A782" s="52"/>
      <c r="B782" s="52"/>
      <c r="C782" s="50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52"/>
      <c r="AN782" s="52"/>
      <c r="AO782" s="52"/>
      <c r="AP782" s="52"/>
      <c r="AQ782" s="52"/>
      <c r="AR782" s="52"/>
      <c r="AS782" s="52"/>
      <c r="AT782" s="52"/>
      <c r="AU782" s="47"/>
      <c r="AV782" s="52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52"/>
    </row>
    <row r="783">
      <c r="A783" s="52"/>
      <c r="B783" s="52"/>
      <c r="C783" s="50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2"/>
      <c r="AL783" s="52"/>
      <c r="AM783" s="52"/>
      <c r="AN783" s="52"/>
      <c r="AO783" s="52"/>
      <c r="AP783" s="52"/>
      <c r="AQ783" s="52"/>
      <c r="AR783" s="52"/>
      <c r="AS783" s="52"/>
      <c r="AT783" s="52"/>
      <c r="AU783" s="47"/>
      <c r="AV783" s="52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52"/>
    </row>
    <row r="784">
      <c r="A784" s="52"/>
      <c r="B784" s="52"/>
      <c r="C784" s="50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/>
      <c r="AT784" s="52"/>
      <c r="AU784" s="47"/>
      <c r="AV784" s="52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52"/>
    </row>
    <row r="785">
      <c r="A785" s="52"/>
      <c r="B785" s="52"/>
      <c r="C785" s="50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/>
      <c r="AT785" s="52"/>
      <c r="AU785" s="47"/>
      <c r="AV785" s="52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52"/>
    </row>
    <row r="786">
      <c r="A786" s="52"/>
      <c r="B786" s="52"/>
      <c r="C786" s="50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2"/>
      <c r="AS786" s="52"/>
      <c r="AT786" s="52"/>
      <c r="AU786" s="47"/>
      <c r="AV786" s="52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52"/>
    </row>
    <row r="787">
      <c r="A787" s="52"/>
      <c r="B787" s="52"/>
      <c r="C787" s="50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2"/>
      <c r="AL787" s="52"/>
      <c r="AM787" s="52"/>
      <c r="AN787" s="52"/>
      <c r="AO787" s="52"/>
      <c r="AP787" s="52"/>
      <c r="AQ787" s="52"/>
      <c r="AR787" s="52"/>
      <c r="AS787" s="52"/>
      <c r="AT787" s="52"/>
      <c r="AU787" s="47"/>
      <c r="AV787" s="52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52"/>
    </row>
    <row r="788">
      <c r="A788" s="52"/>
      <c r="B788" s="52"/>
      <c r="C788" s="50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2"/>
      <c r="AL788" s="52"/>
      <c r="AM788" s="52"/>
      <c r="AN788" s="52"/>
      <c r="AO788" s="52"/>
      <c r="AP788" s="52"/>
      <c r="AQ788" s="52"/>
      <c r="AR788" s="52"/>
      <c r="AS788" s="52"/>
      <c r="AT788" s="52"/>
      <c r="AU788" s="47"/>
      <c r="AV788" s="52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52"/>
    </row>
    <row r="789">
      <c r="A789" s="52"/>
      <c r="B789" s="52"/>
      <c r="C789" s="50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2"/>
      <c r="AL789" s="52"/>
      <c r="AM789" s="52"/>
      <c r="AN789" s="52"/>
      <c r="AO789" s="52"/>
      <c r="AP789" s="52"/>
      <c r="AQ789" s="52"/>
      <c r="AR789" s="52"/>
      <c r="AS789" s="52"/>
      <c r="AT789" s="52"/>
      <c r="AU789" s="47"/>
      <c r="AV789" s="52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52"/>
    </row>
    <row r="790">
      <c r="A790" s="52"/>
      <c r="B790" s="52"/>
      <c r="C790" s="50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2"/>
      <c r="AL790" s="52"/>
      <c r="AM790" s="52"/>
      <c r="AN790" s="52"/>
      <c r="AO790" s="52"/>
      <c r="AP790" s="52"/>
      <c r="AQ790" s="52"/>
      <c r="AR790" s="52"/>
      <c r="AS790" s="52"/>
      <c r="AT790" s="52"/>
      <c r="AU790" s="47"/>
      <c r="AV790" s="52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52"/>
    </row>
    <row r="791">
      <c r="A791" s="52"/>
      <c r="B791" s="52"/>
      <c r="C791" s="50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2"/>
      <c r="AL791" s="52"/>
      <c r="AM791" s="52"/>
      <c r="AN791" s="52"/>
      <c r="AO791" s="52"/>
      <c r="AP791" s="52"/>
      <c r="AQ791" s="52"/>
      <c r="AR791" s="52"/>
      <c r="AS791" s="52"/>
      <c r="AT791" s="52"/>
      <c r="AU791" s="47"/>
      <c r="AV791" s="52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52"/>
    </row>
    <row r="792">
      <c r="A792" s="52"/>
      <c r="B792" s="52"/>
      <c r="C792" s="50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2"/>
      <c r="AL792" s="52"/>
      <c r="AM792" s="52"/>
      <c r="AN792" s="52"/>
      <c r="AO792" s="52"/>
      <c r="AP792" s="52"/>
      <c r="AQ792" s="52"/>
      <c r="AR792" s="52"/>
      <c r="AS792" s="52"/>
      <c r="AT792" s="52"/>
      <c r="AU792" s="47"/>
      <c r="AV792" s="52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52"/>
    </row>
    <row r="793">
      <c r="A793" s="52"/>
      <c r="B793" s="52"/>
      <c r="C793" s="50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2"/>
      <c r="AL793" s="52"/>
      <c r="AM793" s="52"/>
      <c r="AN793" s="52"/>
      <c r="AO793" s="52"/>
      <c r="AP793" s="52"/>
      <c r="AQ793" s="52"/>
      <c r="AR793" s="52"/>
      <c r="AS793" s="52"/>
      <c r="AT793" s="52"/>
      <c r="AU793" s="47"/>
      <c r="AV793" s="52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52"/>
    </row>
    <row r="794">
      <c r="A794" s="52"/>
      <c r="B794" s="52"/>
      <c r="C794" s="50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/>
      <c r="AT794" s="52"/>
      <c r="AU794" s="47"/>
      <c r="AV794" s="52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52"/>
    </row>
    <row r="795">
      <c r="A795" s="52"/>
      <c r="B795" s="52"/>
      <c r="C795" s="50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/>
      <c r="AT795" s="52"/>
      <c r="AU795" s="47"/>
      <c r="AV795" s="52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52"/>
    </row>
    <row r="796">
      <c r="A796" s="52"/>
      <c r="B796" s="52"/>
      <c r="C796" s="50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/>
      <c r="AT796" s="52"/>
      <c r="AU796" s="47"/>
      <c r="AV796" s="52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52"/>
    </row>
    <row r="797">
      <c r="A797" s="52"/>
      <c r="B797" s="52"/>
      <c r="C797" s="50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/>
      <c r="AT797" s="52"/>
      <c r="AU797" s="47"/>
      <c r="AV797" s="52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52"/>
    </row>
    <row r="798">
      <c r="A798" s="52"/>
      <c r="B798" s="52"/>
      <c r="C798" s="50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/>
      <c r="AT798" s="52"/>
      <c r="AU798" s="47"/>
      <c r="AV798" s="52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52"/>
    </row>
    <row r="799">
      <c r="A799" s="52"/>
      <c r="B799" s="52"/>
      <c r="C799" s="50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/>
      <c r="AT799" s="52"/>
      <c r="AU799" s="47"/>
      <c r="AV799" s="52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52"/>
    </row>
    <row r="800">
      <c r="A800" s="52"/>
      <c r="B800" s="52"/>
      <c r="C800" s="50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/>
      <c r="AT800" s="52"/>
      <c r="AU800" s="47"/>
      <c r="AV800" s="52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52"/>
    </row>
    <row r="801">
      <c r="A801" s="52"/>
      <c r="B801" s="52"/>
      <c r="C801" s="50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/>
      <c r="AT801" s="52"/>
      <c r="AU801" s="47"/>
      <c r="AV801" s="52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52"/>
    </row>
    <row r="802">
      <c r="A802" s="52"/>
      <c r="B802" s="52"/>
      <c r="C802" s="50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/>
      <c r="AT802" s="52"/>
      <c r="AU802" s="47"/>
      <c r="AV802" s="52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52"/>
    </row>
    <row r="803">
      <c r="A803" s="52"/>
      <c r="B803" s="52"/>
      <c r="C803" s="50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2"/>
      <c r="AS803" s="52"/>
      <c r="AT803" s="52"/>
      <c r="AU803" s="47"/>
      <c r="AV803" s="52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52"/>
    </row>
    <row r="804">
      <c r="A804" s="52"/>
      <c r="B804" s="52"/>
      <c r="C804" s="50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2"/>
      <c r="AS804" s="52"/>
      <c r="AT804" s="52"/>
      <c r="AU804" s="47"/>
      <c r="AV804" s="52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52"/>
    </row>
    <row r="805">
      <c r="A805" s="52"/>
      <c r="B805" s="52"/>
      <c r="C805" s="50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  <c r="AK805" s="52"/>
      <c r="AL805" s="52"/>
      <c r="AM805" s="52"/>
      <c r="AN805" s="52"/>
      <c r="AO805" s="52"/>
      <c r="AP805" s="52"/>
      <c r="AQ805" s="52"/>
      <c r="AR805" s="52"/>
      <c r="AS805" s="52"/>
      <c r="AT805" s="52"/>
      <c r="AU805" s="47"/>
      <c r="AV805" s="52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52"/>
    </row>
    <row r="806">
      <c r="A806" s="52"/>
      <c r="B806" s="52"/>
      <c r="C806" s="50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/>
      <c r="AT806" s="52"/>
      <c r="AU806" s="47"/>
      <c r="AV806" s="52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52"/>
    </row>
    <row r="807">
      <c r="A807" s="52"/>
      <c r="B807" s="52"/>
      <c r="C807" s="50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/>
      <c r="AT807" s="52"/>
      <c r="AU807" s="47"/>
      <c r="AV807" s="52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52"/>
    </row>
    <row r="808">
      <c r="A808" s="52"/>
      <c r="B808" s="52"/>
      <c r="C808" s="50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  <c r="AK808" s="52"/>
      <c r="AL808" s="52"/>
      <c r="AM808" s="52"/>
      <c r="AN808" s="52"/>
      <c r="AO808" s="52"/>
      <c r="AP808" s="52"/>
      <c r="AQ808" s="52"/>
      <c r="AR808" s="52"/>
      <c r="AS808" s="52"/>
      <c r="AT808" s="52"/>
      <c r="AU808" s="47"/>
      <c r="AV808" s="52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52"/>
    </row>
    <row r="809">
      <c r="A809" s="52"/>
      <c r="B809" s="52"/>
      <c r="C809" s="50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  <c r="AK809" s="52"/>
      <c r="AL809" s="52"/>
      <c r="AM809" s="52"/>
      <c r="AN809" s="52"/>
      <c r="AO809" s="52"/>
      <c r="AP809" s="52"/>
      <c r="AQ809" s="52"/>
      <c r="AR809" s="52"/>
      <c r="AS809" s="52"/>
      <c r="AT809" s="52"/>
      <c r="AU809" s="47"/>
      <c r="AV809" s="52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52"/>
    </row>
    <row r="810">
      <c r="A810" s="52"/>
      <c r="B810" s="52"/>
      <c r="C810" s="50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  <c r="AK810" s="52"/>
      <c r="AL810" s="52"/>
      <c r="AM810" s="52"/>
      <c r="AN810" s="52"/>
      <c r="AO810" s="52"/>
      <c r="AP810" s="52"/>
      <c r="AQ810" s="52"/>
      <c r="AR810" s="52"/>
      <c r="AS810" s="52"/>
      <c r="AT810" s="52"/>
      <c r="AU810" s="47"/>
      <c r="AV810" s="52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52"/>
    </row>
    <row r="811">
      <c r="A811" s="52"/>
      <c r="B811" s="52"/>
      <c r="C811" s="50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47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</row>
    <row r="812">
      <c r="A812" s="52"/>
      <c r="B812" s="52"/>
      <c r="C812" s="50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/>
      <c r="AT812" s="52"/>
      <c r="AU812" s="47"/>
      <c r="AV812" s="52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52"/>
    </row>
    <row r="813">
      <c r="A813" s="52"/>
      <c r="B813" s="52"/>
      <c r="C813" s="50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/>
      <c r="AT813" s="52"/>
      <c r="AU813" s="47"/>
      <c r="AV813" s="52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</row>
    <row r="814">
      <c r="A814" s="52"/>
      <c r="B814" s="52"/>
      <c r="C814" s="50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/>
      <c r="AT814" s="52"/>
      <c r="AU814" s="47"/>
      <c r="AV814" s="52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52"/>
    </row>
    <row r="815">
      <c r="A815" s="52"/>
      <c r="B815" s="52"/>
      <c r="C815" s="50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/>
      <c r="AT815" s="52"/>
      <c r="AU815" s="47"/>
      <c r="AV815" s="52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52"/>
    </row>
    <row r="816">
      <c r="A816" s="52"/>
      <c r="B816" s="52"/>
      <c r="C816" s="50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/>
      <c r="AT816" s="52"/>
      <c r="AU816" s="47"/>
      <c r="AV816" s="52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52"/>
    </row>
    <row r="817">
      <c r="A817" s="52"/>
      <c r="B817" s="52"/>
      <c r="C817" s="50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/>
      <c r="AT817" s="52"/>
      <c r="AU817" s="47"/>
      <c r="AV817" s="52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52"/>
    </row>
    <row r="818">
      <c r="A818" s="52"/>
      <c r="B818" s="52"/>
      <c r="C818" s="50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/>
      <c r="AT818" s="52"/>
      <c r="AU818" s="47"/>
      <c r="AV818" s="52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52"/>
    </row>
    <row r="819">
      <c r="A819" s="52"/>
      <c r="B819" s="52"/>
      <c r="C819" s="50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  <c r="AK819" s="52"/>
      <c r="AL819" s="52"/>
      <c r="AM819" s="52"/>
      <c r="AN819" s="52"/>
      <c r="AO819" s="52"/>
      <c r="AP819" s="52"/>
      <c r="AQ819" s="52"/>
      <c r="AR819" s="52"/>
      <c r="AS819" s="52"/>
      <c r="AT819" s="52"/>
      <c r="AU819" s="47"/>
      <c r="AV819" s="52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52"/>
    </row>
    <row r="820">
      <c r="A820" s="52"/>
      <c r="B820" s="52"/>
      <c r="C820" s="50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2"/>
      <c r="AS820" s="52"/>
      <c r="AT820" s="52"/>
      <c r="AU820" s="47"/>
      <c r="AV820" s="52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52"/>
    </row>
    <row r="821">
      <c r="A821" s="52"/>
      <c r="B821" s="52"/>
      <c r="C821" s="50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2"/>
      <c r="AS821" s="52"/>
      <c r="AT821" s="52"/>
      <c r="AU821" s="47"/>
      <c r="AV821" s="52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52"/>
    </row>
    <row r="822">
      <c r="A822" s="52"/>
      <c r="B822" s="52"/>
      <c r="C822" s="50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/>
      <c r="AT822" s="52"/>
      <c r="AU822" s="47"/>
      <c r="AV822" s="52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52"/>
    </row>
    <row r="823">
      <c r="A823" s="52"/>
      <c r="B823" s="52"/>
      <c r="C823" s="50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/>
      <c r="AT823" s="52"/>
      <c r="AU823" s="47"/>
      <c r="AV823" s="52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52"/>
    </row>
    <row r="824">
      <c r="A824" s="52"/>
      <c r="B824" s="52"/>
      <c r="C824" s="50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/>
      <c r="AT824" s="52"/>
      <c r="AU824" s="47"/>
      <c r="AV824" s="52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52"/>
    </row>
    <row r="825">
      <c r="A825" s="52"/>
      <c r="B825" s="52"/>
      <c r="C825" s="50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/>
      <c r="AT825" s="52"/>
      <c r="AU825" s="47"/>
      <c r="AV825" s="52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52"/>
    </row>
    <row r="826">
      <c r="A826" s="52"/>
      <c r="B826" s="52"/>
      <c r="C826" s="50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/>
      <c r="AT826" s="52"/>
      <c r="AU826" s="47"/>
      <c r="AV826" s="52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52"/>
    </row>
    <row r="827">
      <c r="A827" s="52"/>
      <c r="B827" s="52"/>
      <c r="C827" s="50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/>
      <c r="AT827" s="52"/>
      <c r="AU827" s="47"/>
      <c r="AV827" s="52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52"/>
    </row>
    <row r="828">
      <c r="A828" s="52"/>
      <c r="B828" s="52"/>
      <c r="C828" s="50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/>
      <c r="AT828" s="52"/>
      <c r="AU828" s="47"/>
      <c r="AV828" s="52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52"/>
    </row>
    <row r="829">
      <c r="A829" s="52"/>
      <c r="B829" s="52"/>
      <c r="C829" s="50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/>
      <c r="AT829" s="52"/>
      <c r="AU829" s="47"/>
      <c r="AV829" s="52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52"/>
    </row>
    <row r="830">
      <c r="A830" s="52"/>
      <c r="B830" s="52"/>
      <c r="C830" s="50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/>
      <c r="AT830" s="52"/>
      <c r="AU830" s="47"/>
      <c r="AV830" s="52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52"/>
    </row>
    <row r="831">
      <c r="A831" s="52"/>
      <c r="B831" s="52"/>
      <c r="C831" s="50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  <c r="AK831" s="52"/>
      <c r="AL831" s="52"/>
      <c r="AM831" s="52"/>
      <c r="AN831" s="52"/>
      <c r="AO831" s="52"/>
      <c r="AP831" s="52"/>
      <c r="AQ831" s="52"/>
      <c r="AR831" s="52"/>
      <c r="AS831" s="52"/>
      <c r="AT831" s="52"/>
      <c r="AU831" s="47"/>
      <c r="AV831" s="52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52"/>
    </row>
    <row r="832">
      <c r="A832" s="52"/>
      <c r="B832" s="52"/>
      <c r="C832" s="50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  <c r="AK832" s="52"/>
      <c r="AL832" s="52"/>
      <c r="AM832" s="52"/>
      <c r="AN832" s="52"/>
      <c r="AO832" s="52"/>
      <c r="AP832" s="52"/>
      <c r="AQ832" s="52"/>
      <c r="AR832" s="52"/>
      <c r="AS832" s="52"/>
      <c r="AT832" s="52"/>
      <c r="AU832" s="47"/>
      <c r="AV832" s="52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52"/>
    </row>
    <row r="833">
      <c r="A833" s="52"/>
      <c r="B833" s="52"/>
      <c r="C833" s="50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  <c r="AK833" s="52"/>
      <c r="AL833" s="52"/>
      <c r="AM833" s="52"/>
      <c r="AN833" s="52"/>
      <c r="AO833" s="52"/>
      <c r="AP833" s="52"/>
      <c r="AQ833" s="52"/>
      <c r="AR833" s="52"/>
      <c r="AS833" s="52"/>
      <c r="AT833" s="52"/>
      <c r="AU833" s="47"/>
      <c r="AV833" s="52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52"/>
    </row>
    <row r="834">
      <c r="A834" s="52"/>
      <c r="B834" s="52"/>
      <c r="C834" s="50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/>
      <c r="AT834" s="52"/>
      <c r="AU834" s="47"/>
      <c r="AV834" s="52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52"/>
    </row>
    <row r="835">
      <c r="A835" s="52"/>
      <c r="B835" s="52"/>
      <c r="C835" s="50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  <c r="AK835" s="52"/>
      <c r="AL835" s="52"/>
      <c r="AM835" s="52"/>
      <c r="AN835" s="52"/>
      <c r="AO835" s="52"/>
      <c r="AP835" s="52"/>
      <c r="AQ835" s="52"/>
      <c r="AR835" s="52"/>
      <c r="AS835" s="52"/>
      <c r="AT835" s="52"/>
      <c r="AU835" s="47"/>
      <c r="AV835" s="52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52"/>
    </row>
    <row r="836">
      <c r="A836" s="52"/>
      <c r="B836" s="52"/>
      <c r="C836" s="50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  <c r="AK836" s="52"/>
      <c r="AL836" s="52"/>
      <c r="AM836" s="52"/>
      <c r="AN836" s="52"/>
      <c r="AO836" s="52"/>
      <c r="AP836" s="52"/>
      <c r="AQ836" s="52"/>
      <c r="AR836" s="52"/>
      <c r="AS836" s="52"/>
      <c r="AT836" s="52"/>
      <c r="AU836" s="47"/>
      <c r="AV836" s="52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52"/>
    </row>
    <row r="837">
      <c r="A837" s="52"/>
      <c r="B837" s="52"/>
      <c r="C837" s="50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/>
      <c r="AT837" s="52"/>
      <c r="AU837" s="47"/>
      <c r="AV837" s="52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52"/>
    </row>
    <row r="838">
      <c r="A838" s="52"/>
      <c r="B838" s="52"/>
      <c r="C838" s="50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/>
      <c r="AT838" s="52"/>
      <c r="AU838" s="47"/>
      <c r="AV838" s="52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52"/>
    </row>
    <row r="839">
      <c r="A839" s="52"/>
      <c r="B839" s="52"/>
      <c r="C839" s="50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/>
      <c r="AT839" s="52"/>
      <c r="AU839" s="47"/>
      <c r="AV839" s="52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52"/>
    </row>
    <row r="840">
      <c r="A840" s="52"/>
      <c r="B840" s="52"/>
      <c r="C840" s="50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/>
      <c r="AT840" s="52"/>
      <c r="AU840" s="47"/>
      <c r="AV840" s="52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52"/>
    </row>
    <row r="841">
      <c r="A841" s="52"/>
      <c r="B841" s="52"/>
      <c r="C841" s="50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/>
      <c r="AT841" s="52"/>
      <c r="AU841" s="47"/>
      <c r="AV841" s="52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52"/>
    </row>
    <row r="842">
      <c r="A842" s="52"/>
      <c r="B842" s="52"/>
      <c r="C842" s="50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/>
      <c r="AT842" s="52"/>
      <c r="AU842" s="47"/>
      <c r="AV842" s="52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52"/>
    </row>
    <row r="843">
      <c r="A843" s="52"/>
      <c r="B843" s="52"/>
      <c r="C843" s="50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/>
      <c r="AT843" s="52"/>
      <c r="AU843" s="47"/>
      <c r="AV843" s="52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52"/>
    </row>
    <row r="844">
      <c r="A844" s="52"/>
      <c r="B844" s="52"/>
      <c r="C844" s="50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/>
      <c r="AT844" s="52"/>
      <c r="AU844" s="47"/>
      <c r="AV844" s="52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52"/>
    </row>
    <row r="845">
      <c r="A845" s="52"/>
      <c r="B845" s="52"/>
      <c r="C845" s="50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/>
      <c r="AT845" s="52"/>
      <c r="AU845" s="47"/>
      <c r="AV845" s="52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52"/>
    </row>
    <row r="846">
      <c r="A846" s="52"/>
      <c r="B846" s="52"/>
      <c r="C846" s="50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/>
      <c r="AT846" s="52"/>
      <c r="AU846" s="47"/>
      <c r="AV846" s="52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52"/>
    </row>
    <row r="847">
      <c r="A847" s="52"/>
      <c r="B847" s="52"/>
      <c r="C847" s="50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/>
      <c r="AT847" s="52"/>
      <c r="AU847" s="47"/>
      <c r="AV847" s="52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52"/>
    </row>
    <row r="848">
      <c r="A848" s="52"/>
      <c r="B848" s="52"/>
      <c r="C848" s="50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/>
      <c r="AT848" s="52"/>
      <c r="AU848" s="47"/>
      <c r="AV848" s="52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52"/>
    </row>
    <row r="849">
      <c r="A849" s="52"/>
      <c r="B849" s="52"/>
      <c r="C849" s="50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/>
      <c r="AT849" s="52"/>
      <c r="AU849" s="47"/>
      <c r="AV849" s="52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52"/>
    </row>
    <row r="850">
      <c r="A850" s="52"/>
      <c r="B850" s="52"/>
      <c r="C850" s="50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/>
      <c r="AT850" s="52"/>
      <c r="AU850" s="47"/>
      <c r="AV850" s="52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52"/>
    </row>
    <row r="851">
      <c r="A851" s="52"/>
      <c r="B851" s="52"/>
      <c r="C851" s="50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/>
      <c r="AT851" s="52"/>
      <c r="AU851" s="47"/>
      <c r="AV851" s="52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52"/>
    </row>
    <row r="852">
      <c r="A852" s="52"/>
      <c r="B852" s="52"/>
      <c r="C852" s="50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/>
      <c r="AT852" s="52"/>
      <c r="AU852" s="47"/>
      <c r="AV852" s="52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52"/>
    </row>
    <row r="853">
      <c r="A853" s="52"/>
      <c r="B853" s="52"/>
      <c r="C853" s="50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/>
      <c r="AT853" s="52"/>
      <c r="AU853" s="47"/>
      <c r="AV853" s="52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52"/>
    </row>
    <row r="854">
      <c r="A854" s="52"/>
      <c r="B854" s="52"/>
      <c r="C854" s="50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/>
      <c r="AT854" s="52"/>
      <c r="AU854" s="47"/>
      <c r="AV854" s="52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52"/>
    </row>
    <row r="855">
      <c r="A855" s="52"/>
      <c r="B855" s="52"/>
      <c r="C855" s="50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/>
      <c r="AT855" s="52"/>
      <c r="AU855" s="47"/>
      <c r="AV855" s="52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52"/>
    </row>
    <row r="856">
      <c r="A856" s="52"/>
      <c r="B856" s="52"/>
      <c r="C856" s="50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47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</row>
    <row r="857">
      <c r="A857" s="52"/>
      <c r="B857" s="52"/>
      <c r="C857" s="50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2"/>
      <c r="AS857" s="52"/>
      <c r="AT857" s="52"/>
      <c r="AU857" s="47"/>
      <c r="AV857" s="52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52"/>
    </row>
    <row r="858">
      <c r="A858" s="52"/>
      <c r="B858" s="52"/>
      <c r="C858" s="50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/>
      <c r="AT858" s="52"/>
      <c r="AU858" s="47"/>
      <c r="AV858" s="52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52"/>
    </row>
    <row r="859">
      <c r="A859" s="52"/>
      <c r="B859" s="52"/>
      <c r="C859" s="50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/>
      <c r="AT859" s="52"/>
      <c r="AU859" s="47"/>
      <c r="AV859" s="52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52"/>
    </row>
    <row r="860">
      <c r="A860" s="52"/>
      <c r="B860" s="52"/>
      <c r="C860" s="50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/>
      <c r="AT860" s="52"/>
      <c r="AU860" s="47"/>
      <c r="AV860" s="52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52"/>
    </row>
    <row r="861">
      <c r="A861" s="52"/>
      <c r="B861" s="52"/>
      <c r="C861" s="50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/>
      <c r="AT861" s="52"/>
      <c r="AU861" s="47"/>
      <c r="AV861" s="52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52"/>
    </row>
    <row r="862">
      <c r="A862" s="52"/>
      <c r="B862" s="52"/>
      <c r="C862" s="50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  <c r="AK862" s="52"/>
      <c r="AL862" s="52"/>
      <c r="AM862" s="52"/>
      <c r="AN862" s="52"/>
      <c r="AO862" s="52"/>
      <c r="AP862" s="52"/>
      <c r="AQ862" s="52"/>
      <c r="AR862" s="52"/>
      <c r="AS862" s="52"/>
      <c r="AT862" s="52"/>
      <c r="AU862" s="47"/>
      <c r="AV862" s="52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52"/>
    </row>
    <row r="863">
      <c r="A863" s="52"/>
      <c r="B863" s="52"/>
      <c r="C863" s="50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  <c r="AK863" s="52"/>
      <c r="AL863" s="52"/>
      <c r="AM863" s="52"/>
      <c r="AN863" s="52"/>
      <c r="AO863" s="52"/>
      <c r="AP863" s="52"/>
      <c r="AQ863" s="52"/>
      <c r="AR863" s="52"/>
      <c r="AS863" s="52"/>
      <c r="AT863" s="52"/>
      <c r="AU863" s="47"/>
      <c r="AV863" s="52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52"/>
    </row>
    <row r="864">
      <c r="A864" s="52"/>
      <c r="B864" s="52"/>
      <c r="C864" s="50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  <c r="AK864" s="52"/>
      <c r="AL864" s="52"/>
      <c r="AM864" s="52"/>
      <c r="AN864" s="52"/>
      <c r="AO864" s="52"/>
      <c r="AP864" s="52"/>
      <c r="AQ864" s="52"/>
      <c r="AR864" s="52"/>
      <c r="AS864" s="52"/>
      <c r="AT864" s="52"/>
      <c r="AU864" s="47"/>
      <c r="AV864" s="52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52"/>
    </row>
    <row r="865">
      <c r="A865" s="52"/>
      <c r="B865" s="52"/>
      <c r="C865" s="50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47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</row>
    <row r="866">
      <c r="A866" s="52"/>
      <c r="B866" s="52"/>
      <c r="C866" s="50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  <c r="AK866" s="52"/>
      <c r="AL866" s="52"/>
      <c r="AM866" s="52"/>
      <c r="AN866" s="52"/>
      <c r="AO866" s="52"/>
      <c r="AP866" s="52"/>
      <c r="AQ866" s="52"/>
      <c r="AR866" s="52"/>
      <c r="AS866" s="52"/>
      <c r="AT866" s="52"/>
      <c r="AU866" s="47"/>
      <c r="AV866" s="52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52"/>
    </row>
    <row r="867">
      <c r="A867" s="52"/>
      <c r="B867" s="52"/>
      <c r="C867" s="50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  <c r="AK867" s="52"/>
      <c r="AL867" s="52"/>
      <c r="AM867" s="52"/>
      <c r="AN867" s="52"/>
      <c r="AO867" s="52"/>
      <c r="AP867" s="52"/>
      <c r="AQ867" s="52"/>
      <c r="AR867" s="52"/>
      <c r="AS867" s="52"/>
      <c r="AT867" s="52"/>
      <c r="AU867" s="47"/>
      <c r="AV867" s="52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52"/>
    </row>
    <row r="868">
      <c r="A868" s="52"/>
      <c r="B868" s="52"/>
      <c r="C868" s="50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/>
      <c r="AT868" s="52"/>
      <c r="AU868" s="47"/>
      <c r="AV868" s="52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52"/>
    </row>
    <row r="869">
      <c r="A869" s="52"/>
      <c r="B869" s="52"/>
      <c r="C869" s="50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/>
      <c r="AT869" s="52"/>
      <c r="AU869" s="47"/>
      <c r="AV869" s="52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52"/>
    </row>
    <row r="870">
      <c r="A870" s="52"/>
      <c r="B870" s="52"/>
      <c r="C870" s="50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47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</row>
    <row r="871">
      <c r="A871" s="52"/>
      <c r="B871" s="52"/>
      <c r="C871" s="50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/>
      <c r="AT871" s="52"/>
      <c r="AU871" s="47"/>
      <c r="AV871" s="52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52"/>
    </row>
    <row r="872">
      <c r="A872" s="52"/>
      <c r="B872" s="52"/>
      <c r="C872" s="50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/>
      <c r="AT872" s="52"/>
      <c r="AU872" s="47"/>
      <c r="AV872" s="52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52"/>
    </row>
    <row r="873">
      <c r="A873" s="52"/>
      <c r="B873" s="52"/>
      <c r="C873" s="50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/>
      <c r="AT873" s="52"/>
      <c r="AU873" s="47"/>
      <c r="AV873" s="52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52"/>
    </row>
    <row r="874">
      <c r="A874" s="52"/>
      <c r="B874" s="52"/>
      <c r="C874" s="50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/>
      <c r="AT874" s="52"/>
      <c r="AU874" s="47"/>
      <c r="AV874" s="52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52"/>
    </row>
    <row r="875">
      <c r="A875" s="52"/>
      <c r="B875" s="52"/>
      <c r="C875" s="50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/>
      <c r="AT875" s="52"/>
      <c r="AU875" s="47"/>
      <c r="AV875" s="52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52"/>
    </row>
    <row r="876">
      <c r="A876" s="52"/>
      <c r="B876" s="52"/>
      <c r="C876" s="50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/>
      <c r="AT876" s="52"/>
      <c r="AU876" s="47"/>
      <c r="AV876" s="52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52"/>
    </row>
    <row r="877">
      <c r="A877" s="52"/>
      <c r="B877" s="52"/>
      <c r="C877" s="50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47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</row>
    <row r="878">
      <c r="A878" s="52"/>
      <c r="B878" s="52"/>
      <c r="C878" s="50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/>
      <c r="AT878" s="52"/>
      <c r="AU878" s="47"/>
      <c r="AV878" s="52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52"/>
    </row>
    <row r="879">
      <c r="A879" s="52"/>
      <c r="B879" s="52"/>
      <c r="C879" s="50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/>
      <c r="AT879" s="52"/>
      <c r="AU879" s="47"/>
      <c r="AV879" s="52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52"/>
    </row>
    <row r="880">
      <c r="A880" s="52"/>
      <c r="B880" s="52"/>
      <c r="C880" s="50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/>
      <c r="AT880" s="52"/>
      <c r="AU880" s="47"/>
      <c r="AV880" s="52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52"/>
    </row>
    <row r="881">
      <c r="A881" s="52"/>
      <c r="B881" s="52"/>
      <c r="C881" s="50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/>
      <c r="AT881" s="52"/>
      <c r="AU881" s="47"/>
      <c r="AV881" s="52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52"/>
    </row>
    <row r="882">
      <c r="A882" s="52"/>
      <c r="B882" s="52"/>
      <c r="C882" s="50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/>
      <c r="AT882" s="52"/>
      <c r="AU882" s="47"/>
      <c r="AV882" s="52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52"/>
    </row>
    <row r="883">
      <c r="A883" s="52"/>
      <c r="B883" s="52"/>
      <c r="C883" s="50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/>
      <c r="AT883" s="52"/>
      <c r="AU883" s="47"/>
      <c r="AV883" s="52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52"/>
    </row>
    <row r="884">
      <c r="A884" s="52"/>
      <c r="B884" s="52"/>
      <c r="C884" s="50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/>
      <c r="AT884" s="52"/>
      <c r="AU884" s="47"/>
      <c r="AV884" s="52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52"/>
    </row>
    <row r="885">
      <c r="A885" s="52"/>
      <c r="B885" s="52"/>
      <c r="C885" s="50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/>
      <c r="AT885" s="52"/>
      <c r="AU885" s="47"/>
      <c r="AV885" s="52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52"/>
    </row>
    <row r="886">
      <c r="A886" s="52"/>
      <c r="B886" s="52"/>
      <c r="C886" s="50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/>
      <c r="AT886" s="52"/>
      <c r="AU886" s="47"/>
      <c r="AV886" s="52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52"/>
    </row>
    <row r="887">
      <c r="A887" s="52"/>
      <c r="B887" s="52"/>
      <c r="C887" s="50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/>
      <c r="AT887" s="52"/>
      <c r="AU887" s="47"/>
      <c r="AV887" s="52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52"/>
    </row>
    <row r="888">
      <c r="A888" s="52"/>
      <c r="B888" s="52"/>
      <c r="C888" s="50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/>
      <c r="AT888" s="52"/>
      <c r="AU888" s="47"/>
      <c r="AV888" s="52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52"/>
    </row>
    <row r="889">
      <c r="A889" s="52"/>
      <c r="B889" s="52"/>
      <c r="C889" s="50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/>
      <c r="AT889" s="52"/>
      <c r="AU889" s="47"/>
      <c r="AV889" s="52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52"/>
    </row>
    <row r="890">
      <c r="A890" s="52"/>
      <c r="B890" s="52"/>
      <c r="C890" s="50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/>
      <c r="AT890" s="52"/>
      <c r="AU890" s="47"/>
      <c r="AV890" s="52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52"/>
    </row>
    <row r="891">
      <c r="A891" s="52"/>
      <c r="B891" s="52"/>
      <c r="C891" s="50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  <c r="AK891" s="52"/>
      <c r="AL891" s="52"/>
      <c r="AM891" s="52"/>
      <c r="AN891" s="52"/>
      <c r="AO891" s="52"/>
      <c r="AP891" s="52"/>
      <c r="AQ891" s="52"/>
      <c r="AR891" s="52"/>
      <c r="AS891" s="52"/>
      <c r="AT891" s="52"/>
      <c r="AU891" s="47"/>
      <c r="AV891" s="52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52"/>
    </row>
    <row r="892">
      <c r="A892" s="52"/>
      <c r="B892" s="52"/>
      <c r="C892" s="50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2"/>
      <c r="AS892" s="52"/>
      <c r="AT892" s="52"/>
      <c r="AU892" s="47"/>
      <c r="AV892" s="52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52"/>
    </row>
    <row r="893">
      <c r="A893" s="52"/>
      <c r="B893" s="52"/>
      <c r="C893" s="50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/>
      <c r="AT893" s="52"/>
      <c r="AU893" s="47"/>
      <c r="AV893" s="52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52"/>
    </row>
    <row r="894">
      <c r="A894" s="52"/>
      <c r="B894" s="52"/>
      <c r="C894" s="50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/>
      <c r="AT894" s="52"/>
      <c r="AU894" s="47"/>
      <c r="AV894" s="52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52"/>
    </row>
    <row r="895">
      <c r="A895" s="52"/>
      <c r="B895" s="52"/>
      <c r="C895" s="50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/>
      <c r="AT895" s="52"/>
      <c r="AU895" s="47"/>
      <c r="AV895" s="52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52"/>
    </row>
    <row r="896">
      <c r="A896" s="52"/>
      <c r="B896" s="52"/>
      <c r="C896" s="50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/>
      <c r="AT896" s="52"/>
      <c r="AU896" s="47"/>
      <c r="AV896" s="52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52"/>
    </row>
    <row r="897">
      <c r="A897" s="52"/>
      <c r="B897" s="52"/>
      <c r="C897" s="50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/>
      <c r="AT897" s="52"/>
      <c r="AU897" s="47"/>
      <c r="AV897" s="52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52"/>
    </row>
    <row r="898">
      <c r="A898" s="52"/>
      <c r="B898" s="52"/>
      <c r="C898" s="50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/>
      <c r="AT898" s="52"/>
      <c r="AU898" s="47"/>
      <c r="AV898" s="52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52"/>
    </row>
    <row r="899">
      <c r="A899" s="52"/>
      <c r="B899" s="52"/>
      <c r="C899" s="50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/>
      <c r="AT899" s="52"/>
      <c r="AU899" s="47"/>
      <c r="AV899" s="52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52"/>
    </row>
    <row r="900">
      <c r="A900" s="52"/>
      <c r="B900" s="52"/>
      <c r="C900" s="50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/>
      <c r="AT900" s="52"/>
      <c r="AU900" s="47"/>
      <c r="AV900" s="52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52"/>
    </row>
    <row r="901">
      <c r="A901" s="52"/>
      <c r="B901" s="52"/>
      <c r="C901" s="50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  <c r="AK901" s="52"/>
      <c r="AL901" s="52"/>
      <c r="AM901" s="52"/>
      <c r="AN901" s="52"/>
      <c r="AO901" s="52"/>
      <c r="AP901" s="52"/>
      <c r="AQ901" s="52"/>
      <c r="AR901" s="52"/>
      <c r="AS901" s="52"/>
      <c r="AT901" s="52"/>
      <c r="AU901" s="47"/>
      <c r="AV901" s="52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52"/>
    </row>
    <row r="902">
      <c r="A902" s="52"/>
      <c r="B902" s="52"/>
      <c r="C902" s="50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  <c r="AK902" s="52"/>
      <c r="AL902" s="52"/>
      <c r="AM902" s="52"/>
      <c r="AN902" s="52"/>
      <c r="AO902" s="52"/>
      <c r="AP902" s="52"/>
      <c r="AQ902" s="52"/>
      <c r="AR902" s="52"/>
      <c r="AS902" s="52"/>
      <c r="AT902" s="52"/>
      <c r="AU902" s="47"/>
      <c r="AV902" s="52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52"/>
    </row>
    <row r="903">
      <c r="A903" s="52"/>
      <c r="B903" s="52"/>
      <c r="C903" s="50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  <c r="AK903" s="52"/>
      <c r="AL903" s="52"/>
      <c r="AM903" s="52"/>
      <c r="AN903" s="52"/>
      <c r="AO903" s="52"/>
      <c r="AP903" s="52"/>
      <c r="AQ903" s="52"/>
      <c r="AR903" s="52"/>
      <c r="AS903" s="52"/>
      <c r="AT903" s="52"/>
      <c r="AU903" s="47"/>
      <c r="AV903" s="52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52"/>
    </row>
    <row r="904">
      <c r="A904" s="52"/>
      <c r="B904" s="52"/>
      <c r="C904" s="50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  <c r="AK904" s="52"/>
      <c r="AL904" s="52"/>
      <c r="AM904" s="52"/>
      <c r="AN904" s="52"/>
      <c r="AO904" s="52"/>
      <c r="AP904" s="52"/>
      <c r="AQ904" s="52"/>
      <c r="AR904" s="52"/>
      <c r="AS904" s="52"/>
      <c r="AT904" s="52"/>
      <c r="AU904" s="47"/>
      <c r="AV904" s="52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52"/>
    </row>
    <row r="905">
      <c r="A905" s="52"/>
      <c r="B905" s="52"/>
      <c r="C905" s="50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  <c r="AK905" s="52"/>
      <c r="AL905" s="52"/>
      <c r="AM905" s="52"/>
      <c r="AN905" s="52"/>
      <c r="AO905" s="52"/>
      <c r="AP905" s="52"/>
      <c r="AQ905" s="52"/>
      <c r="AR905" s="52"/>
      <c r="AS905" s="52"/>
      <c r="AT905" s="52"/>
      <c r="AU905" s="47"/>
      <c r="AV905" s="52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52"/>
    </row>
    <row r="906">
      <c r="A906" s="52"/>
      <c r="B906" s="52"/>
      <c r="C906" s="50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/>
      <c r="AT906" s="52"/>
      <c r="AU906" s="47"/>
      <c r="AV906" s="52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52"/>
    </row>
    <row r="907">
      <c r="A907" s="52"/>
      <c r="B907" s="52"/>
      <c r="C907" s="50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/>
      <c r="AT907" s="52"/>
      <c r="AU907" s="47"/>
      <c r="AV907" s="52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52"/>
    </row>
    <row r="908">
      <c r="A908" s="52"/>
      <c r="B908" s="52"/>
      <c r="C908" s="50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/>
      <c r="AT908" s="52"/>
      <c r="AU908" s="47"/>
      <c r="AV908" s="52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52"/>
    </row>
    <row r="909">
      <c r="A909" s="52"/>
      <c r="B909" s="52"/>
      <c r="C909" s="50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/>
      <c r="AT909" s="52"/>
      <c r="AU909" s="47"/>
      <c r="AV909" s="52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52"/>
    </row>
    <row r="910">
      <c r="A910" s="52"/>
      <c r="B910" s="52"/>
      <c r="C910" s="50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2"/>
      <c r="AS910" s="52"/>
      <c r="AT910" s="52"/>
      <c r="AU910" s="47"/>
      <c r="AV910" s="52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52"/>
    </row>
    <row r="911">
      <c r="A911" s="52"/>
      <c r="B911" s="52"/>
      <c r="C911" s="50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47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</row>
    <row r="912">
      <c r="A912" s="52"/>
      <c r="B912" s="52"/>
      <c r="C912" s="50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2"/>
      <c r="AS912" s="52"/>
      <c r="AT912" s="52"/>
      <c r="AU912" s="47"/>
      <c r="AV912" s="52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52"/>
    </row>
    <row r="913">
      <c r="A913" s="52"/>
      <c r="B913" s="52"/>
      <c r="C913" s="50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/>
      <c r="AT913" s="52"/>
      <c r="AU913" s="47"/>
      <c r="AV913" s="52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52"/>
    </row>
    <row r="914">
      <c r="A914" s="52"/>
      <c r="B914" s="52"/>
      <c r="C914" s="50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/>
      <c r="AT914" s="52"/>
      <c r="AU914" s="47"/>
      <c r="AV914" s="52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52"/>
    </row>
    <row r="915">
      <c r="A915" s="52"/>
      <c r="B915" s="52"/>
      <c r="C915" s="50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/>
      <c r="AT915" s="52"/>
      <c r="AU915" s="47"/>
      <c r="AV915" s="52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52"/>
    </row>
    <row r="916">
      <c r="A916" s="52"/>
      <c r="B916" s="52"/>
      <c r="C916" s="50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/>
      <c r="AT916" s="52"/>
      <c r="AU916" s="47"/>
      <c r="AV916" s="52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52"/>
    </row>
    <row r="917">
      <c r="A917" s="52"/>
      <c r="B917" s="52"/>
      <c r="C917" s="50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/>
      <c r="AT917" s="52"/>
      <c r="AU917" s="47"/>
      <c r="AV917" s="52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52"/>
    </row>
    <row r="918">
      <c r="A918" s="52"/>
      <c r="B918" s="52"/>
      <c r="C918" s="50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/>
      <c r="AT918" s="52"/>
      <c r="AU918" s="47"/>
      <c r="AV918" s="52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52"/>
    </row>
    <row r="919">
      <c r="A919" s="52"/>
      <c r="B919" s="52"/>
      <c r="C919" s="50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/>
      <c r="AT919" s="52"/>
      <c r="AU919" s="47"/>
      <c r="AV919" s="52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52"/>
    </row>
    <row r="920">
      <c r="A920" s="52"/>
      <c r="B920" s="52"/>
      <c r="C920" s="50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/>
      <c r="AT920" s="52"/>
      <c r="AU920" s="47"/>
      <c r="AV920" s="52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52"/>
    </row>
    <row r="921">
      <c r="A921" s="52"/>
      <c r="B921" s="52"/>
      <c r="C921" s="50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/>
      <c r="AT921" s="52"/>
      <c r="AU921" s="47"/>
      <c r="AV921" s="52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52"/>
    </row>
    <row r="922">
      <c r="A922" s="52"/>
      <c r="B922" s="52"/>
      <c r="C922" s="50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/>
      <c r="AT922" s="52"/>
      <c r="AU922" s="47"/>
      <c r="AV922" s="52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52"/>
    </row>
    <row r="923">
      <c r="A923" s="52"/>
      <c r="B923" s="52"/>
      <c r="C923" s="50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/>
      <c r="AT923" s="52"/>
      <c r="AU923" s="47"/>
      <c r="AV923" s="52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52"/>
    </row>
    <row r="924">
      <c r="A924" s="52"/>
      <c r="B924" s="52"/>
      <c r="C924" s="50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  <c r="AK924" s="52"/>
      <c r="AL924" s="52"/>
      <c r="AM924" s="52"/>
      <c r="AN924" s="52"/>
      <c r="AO924" s="52"/>
      <c r="AP924" s="52"/>
      <c r="AQ924" s="52"/>
      <c r="AR924" s="52"/>
      <c r="AS924" s="52"/>
      <c r="AT924" s="52"/>
      <c r="AU924" s="47"/>
      <c r="AV924" s="52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52"/>
    </row>
    <row r="925">
      <c r="A925" s="52"/>
      <c r="B925" s="52"/>
      <c r="C925" s="50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  <c r="AK925" s="52"/>
      <c r="AL925" s="52"/>
      <c r="AM925" s="52"/>
      <c r="AN925" s="52"/>
      <c r="AO925" s="52"/>
      <c r="AP925" s="52"/>
      <c r="AQ925" s="52"/>
      <c r="AR925" s="52"/>
      <c r="AS925" s="52"/>
      <c r="AT925" s="52"/>
      <c r="AU925" s="47"/>
      <c r="AV925" s="52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52"/>
    </row>
    <row r="926">
      <c r="A926" s="52"/>
      <c r="B926" s="52"/>
      <c r="C926" s="50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  <c r="AK926" s="52"/>
      <c r="AL926" s="52"/>
      <c r="AM926" s="52"/>
      <c r="AN926" s="52"/>
      <c r="AO926" s="52"/>
      <c r="AP926" s="52"/>
      <c r="AQ926" s="52"/>
      <c r="AR926" s="52"/>
      <c r="AS926" s="52"/>
      <c r="AT926" s="52"/>
      <c r="AU926" s="47"/>
      <c r="AV926" s="52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52"/>
    </row>
    <row r="927">
      <c r="A927" s="52"/>
      <c r="B927" s="52"/>
      <c r="C927" s="50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  <c r="AK927" s="52"/>
      <c r="AL927" s="52"/>
      <c r="AM927" s="52"/>
      <c r="AN927" s="52"/>
      <c r="AO927" s="52"/>
      <c r="AP927" s="52"/>
      <c r="AQ927" s="52"/>
      <c r="AR927" s="52"/>
      <c r="AS927" s="52"/>
      <c r="AT927" s="52"/>
      <c r="AU927" s="47"/>
      <c r="AV927" s="52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52"/>
    </row>
    <row r="928">
      <c r="A928" s="52"/>
      <c r="B928" s="52"/>
      <c r="C928" s="50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2"/>
      <c r="AS928" s="52"/>
      <c r="AT928" s="52"/>
      <c r="AU928" s="47"/>
      <c r="AV928" s="52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52"/>
    </row>
    <row r="929">
      <c r="A929" s="52"/>
      <c r="B929" s="52"/>
      <c r="C929" s="50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2"/>
      <c r="AS929" s="52"/>
      <c r="AT929" s="52"/>
      <c r="AU929" s="47"/>
      <c r="AV929" s="52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52"/>
    </row>
    <row r="930">
      <c r="A930" s="52"/>
      <c r="B930" s="52"/>
      <c r="C930" s="50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/>
      <c r="AT930" s="52"/>
      <c r="AU930" s="47"/>
      <c r="AV930" s="52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52"/>
    </row>
    <row r="931">
      <c r="A931" s="52"/>
      <c r="B931" s="52"/>
      <c r="C931" s="50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  <c r="AK931" s="52"/>
      <c r="AL931" s="52"/>
      <c r="AM931" s="52"/>
      <c r="AN931" s="52"/>
      <c r="AO931" s="52"/>
      <c r="AP931" s="52"/>
      <c r="AQ931" s="52"/>
      <c r="AR931" s="52"/>
      <c r="AS931" s="52"/>
      <c r="AT931" s="52"/>
      <c r="AU931" s="47"/>
      <c r="AV931" s="52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52"/>
    </row>
    <row r="932">
      <c r="A932" s="52"/>
      <c r="B932" s="52"/>
      <c r="C932" s="50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  <c r="AK932" s="52"/>
      <c r="AL932" s="52"/>
      <c r="AM932" s="52"/>
      <c r="AN932" s="52"/>
      <c r="AO932" s="52"/>
      <c r="AP932" s="52"/>
      <c r="AQ932" s="52"/>
      <c r="AR932" s="52"/>
      <c r="AS932" s="52"/>
      <c r="AT932" s="52"/>
      <c r="AU932" s="47"/>
      <c r="AV932" s="52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52"/>
    </row>
    <row r="933">
      <c r="A933" s="52"/>
      <c r="B933" s="52"/>
      <c r="C933" s="50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/>
      <c r="AT933" s="52"/>
      <c r="AU933" s="47"/>
      <c r="AV933" s="52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52"/>
    </row>
    <row r="934">
      <c r="A934" s="52"/>
      <c r="B934" s="52"/>
      <c r="C934" s="50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52"/>
      <c r="AN934" s="52"/>
      <c r="AO934" s="52"/>
      <c r="AP934" s="52"/>
      <c r="AQ934" s="52"/>
      <c r="AR934" s="52"/>
      <c r="AS934" s="52"/>
      <c r="AT934" s="52"/>
      <c r="AU934" s="47"/>
      <c r="AV934" s="52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52"/>
    </row>
    <row r="935">
      <c r="A935" s="52"/>
      <c r="B935" s="52"/>
      <c r="C935" s="50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  <c r="AK935" s="52"/>
      <c r="AL935" s="52"/>
      <c r="AM935" s="52"/>
      <c r="AN935" s="52"/>
      <c r="AO935" s="52"/>
      <c r="AP935" s="52"/>
      <c r="AQ935" s="52"/>
      <c r="AR935" s="52"/>
      <c r="AS935" s="52"/>
      <c r="AT935" s="52"/>
      <c r="AU935" s="47"/>
      <c r="AV935" s="52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52"/>
    </row>
    <row r="936">
      <c r="A936" s="52"/>
      <c r="B936" s="52"/>
      <c r="C936" s="50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/>
      <c r="AT936" s="52"/>
      <c r="AU936" s="47"/>
      <c r="AV936" s="52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52"/>
    </row>
    <row r="937">
      <c r="A937" s="52"/>
      <c r="B937" s="52"/>
      <c r="C937" s="50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/>
      <c r="AT937" s="52"/>
      <c r="AU937" s="47"/>
      <c r="AV937" s="52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52"/>
    </row>
    <row r="938">
      <c r="A938" s="52"/>
      <c r="B938" s="52"/>
      <c r="C938" s="50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/>
      <c r="AT938" s="52"/>
      <c r="AU938" s="47"/>
      <c r="AV938" s="52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52"/>
    </row>
    <row r="939">
      <c r="A939" s="52"/>
      <c r="B939" s="52"/>
      <c r="C939" s="50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/>
      <c r="AT939" s="52"/>
      <c r="AU939" s="47"/>
      <c r="AV939" s="52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52"/>
    </row>
    <row r="940">
      <c r="A940" s="52"/>
      <c r="B940" s="52"/>
      <c r="C940" s="50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/>
      <c r="AT940" s="52"/>
      <c r="AU940" s="47"/>
      <c r="AV940" s="52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52"/>
    </row>
    <row r="941">
      <c r="A941" s="52"/>
      <c r="B941" s="52"/>
      <c r="C941" s="50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/>
      <c r="AT941" s="52"/>
      <c r="AU941" s="47"/>
      <c r="AV941" s="52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52"/>
    </row>
    <row r="942">
      <c r="A942" s="52"/>
      <c r="B942" s="52"/>
      <c r="C942" s="50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/>
      <c r="AT942" s="52"/>
      <c r="AU942" s="47"/>
      <c r="AV942" s="52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52"/>
    </row>
    <row r="943">
      <c r="A943" s="52"/>
      <c r="B943" s="52"/>
      <c r="C943" s="50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/>
      <c r="AT943" s="52"/>
      <c r="AU943" s="47"/>
      <c r="AV943" s="52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52"/>
    </row>
    <row r="944">
      <c r="A944" s="52"/>
      <c r="B944" s="52"/>
      <c r="C944" s="50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/>
      <c r="AT944" s="52"/>
      <c r="AU944" s="47"/>
      <c r="AV944" s="52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52"/>
    </row>
    <row r="945">
      <c r="A945" s="52"/>
      <c r="B945" s="52"/>
      <c r="C945" s="50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/>
      <c r="AT945" s="52"/>
      <c r="AU945" s="47"/>
      <c r="AV945" s="52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52"/>
    </row>
    <row r="946">
      <c r="A946" s="52"/>
      <c r="B946" s="52"/>
      <c r="C946" s="50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/>
      <c r="AT946" s="52"/>
      <c r="AU946" s="47"/>
      <c r="AV946" s="52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52"/>
    </row>
    <row r="947">
      <c r="A947" s="52"/>
      <c r="B947" s="52"/>
      <c r="C947" s="50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/>
      <c r="AT947" s="52"/>
      <c r="AU947" s="47"/>
      <c r="AV947" s="52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52"/>
    </row>
    <row r="948">
      <c r="A948" s="52"/>
      <c r="B948" s="52"/>
      <c r="C948" s="50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/>
      <c r="AT948" s="52"/>
      <c r="AU948" s="47"/>
      <c r="AV948" s="52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52"/>
    </row>
    <row r="949">
      <c r="A949" s="52"/>
      <c r="B949" s="52"/>
      <c r="C949" s="50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/>
      <c r="AT949" s="52"/>
      <c r="AU949" s="47"/>
      <c r="AV949" s="52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52"/>
    </row>
    <row r="950">
      <c r="A950" s="52"/>
      <c r="B950" s="52"/>
      <c r="C950" s="50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/>
      <c r="AT950" s="52"/>
      <c r="AU950" s="47"/>
      <c r="AV950" s="52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52"/>
    </row>
    <row r="951">
      <c r="A951" s="52"/>
      <c r="B951" s="52"/>
      <c r="C951" s="50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/>
      <c r="AT951" s="52"/>
      <c r="AU951" s="47"/>
      <c r="AV951" s="52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52"/>
    </row>
    <row r="952">
      <c r="A952" s="52"/>
      <c r="B952" s="52"/>
      <c r="C952" s="50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/>
      <c r="AT952" s="52"/>
      <c r="AU952" s="47"/>
      <c r="AV952" s="52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52"/>
    </row>
    <row r="953">
      <c r="A953" s="52"/>
      <c r="B953" s="52"/>
      <c r="C953" s="50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/>
      <c r="AT953" s="52"/>
      <c r="AU953" s="47"/>
      <c r="AV953" s="52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52"/>
    </row>
    <row r="954">
      <c r="A954" s="52"/>
      <c r="B954" s="52"/>
      <c r="C954" s="50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/>
      <c r="AT954" s="52"/>
      <c r="AU954" s="47"/>
      <c r="AV954" s="52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52"/>
    </row>
    <row r="955">
      <c r="A955" s="52"/>
      <c r="B955" s="52"/>
      <c r="C955" s="50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/>
      <c r="AT955" s="52"/>
      <c r="AU955" s="47"/>
      <c r="AV955" s="52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52"/>
    </row>
    <row r="956">
      <c r="A956" s="52"/>
      <c r="B956" s="52"/>
      <c r="C956" s="50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/>
      <c r="AT956" s="52"/>
      <c r="AU956" s="47"/>
      <c r="AV956" s="52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52"/>
    </row>
    <row r="957">
      <c r="A957" s="52"/>
      <c r="B957" s="52"/>
      <c r="C957" s="50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/>
      <c r="AT957" s="52"/>
      <c r="AU957" s="47"/>
      <c r="AV957" s="52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52"/>
    </row>
    <row r="958">
      <c r="A958" s="52"/>
      <c r="B958" s="52"/>
      <c r="C958" s="50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/>
      <c r="AT958" s="52"/>
      <c r="AU958" s="47"/>
      <c r="AV958" s="52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52"/>
    </row>
    <row r="959">
      <c r="A959" s="52"/>
      <c r="B959" s="52"/>
      <c r="C959" s="50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/>
      <c r="AT959" s="52"/>
      <c r="AU959" s="47"/>
      <c r="AV959" s="52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52"/>
    </row>
    <row r="960">
      <c r="A960" s="52"/>
      <c r="B960" s="52"/>
      <c r="C960" s="50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/>
      <c r="AT960" s="52"/>
      <c r="AU960" s="47"/>
      <c r="AV960" s="52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52"/>
    </row>
    <row r="961">
      <c r="A961" s="52"/>
      <c r="B961" s="52"/>
      <c r="C961" s="50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/>
      <c r="AT961" s="52"/>
      <c r="AU961" s="47"/>
      <c r="AV961" s="52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52"/>
    </row>
    <row r="962">
      <c r="A962" s="52"/>
      <c r="B962" s="52"/>
      <c r="C962" s="50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  <c r="AK962" s="52"/>
      <c r="AL962" s="52"/>
      <c r="AM962" s="52"/>
      <c r="AN962" s="52"/>
      <c r="AO962" s="52"/>
      <c r="AP962" s="52"/>
      <c r="AQ962" s="52"/>
      <c r="AR962" s="52"/>
      <c r="AS962" s="52"/>
      <c r="AT962" s="52"/>
      <c r="AU962" s="47"/>
      <c r="AV962" s="52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52"/>
    </row>
    <row r="963">
      <c r="A963" s="52"/>
      <c r="B963" s="52"/>
      <c r="C963" s="50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47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</row>
    <row r="964">
      <c r="A964" s="52"/>
      <c r="B964" s="52"/>
      <c r="C964" s="50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2"/>
      <c r="AS964" s="52"/>
      <c r="AT964" s="52"/>
      <c r="AU964" s="47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</row>
    <row r="965">
      <c r="A965" s="52"/>
      <c r="B965" s="52"/>
      <c r="C965" s="50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/>
      <c r="AT965" s="52"/>
      <c r="AU965" s="47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</row>
    <row r="966">
      <c r="A966" s="52"/>
      <c r="B966" s="52"/>
      <c r="C966" s="50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47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</row>
    <row r="967">
      <c r="A967" s="52"/>
      <c r="B967" s="52"/>
      <c r="C967" s="50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47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</row>
    <row r="968">
      <c r="A968" s="52"/>
      <c r="B968" s="52"/>
      <c r="C968" s="50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47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</row>
    <row r="969">
      <c r="A969" s="52"/>
      <c r="B969" s="52"/>
      <c r="C969" s="50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47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</row>
    <row r="970">
      <c r="A970" s="52"/>
      <c r="B970" s="52"/>
      <c r="C970" s="50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47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</row>
    <row r="971">
      <c r="A971" s="52"/>
      <c r="B971" s="52"/>
      <c r="C971" s="50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47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</row>
    <row r="972">
      <c r="A972" s="52"/>
      <c r="B972" s="52"/>
      <c r="C972" s="50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52"/>
      <c r="AN972" s="52"/>
      <c r="AO972" s="52"/>
      <c r="AP972" s="52"/>
      <c r="AQ972" s="52"/>
      <c r="AR972" s="52"/>
      <c r="AS972" s="52"/>
      <c r="AT972" s="52"/>
      <c r="AU972" s="47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</row>
    <row r="973">
      <c r="A973" s="52"/>
      <c r="B973" s="52"/>
      <c r="C973" s="50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/>
      <c r="AT973" s="52"/>
      <c r="AU973" s="47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</row>
    <row r="974">
      <c r="A974" s="52"/>
      <c r="B974" s="52"/>
      <c r="C974" s="50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/>
      <c r="AT974" s="52"/>
      <c r="AU974" s="47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</row>
    <row r="975">
      <c r="A975" s="52"/>
      <c r="B975" s="52"/>
      <c r="C975" s="50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/>
      <c r="AT975" s="52"/>
      <c r="AU975" s="47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</row>
    <row r="976">
      <c r="A976" s="52"/>
      <c r="B976" s="52"/>
      <c r="C976" s="50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/>
      <c r="AT976" s="52"/>
      <c r="AU976" s="47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</row>
    <row r="977">
      <c r="A977" s="52"/>
      <c r="B977" s="52"/>
      <c r="C977" s="50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/>
      <c r="AT977" s="52"/>
      <c r="AU977" s="47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</row>
    <row r="978">
      <c r="A978" s="52"/>
      <c r="B978" s="52"/>
      <c r="C978" s="50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  <c r="AK978" s="52"/>
      <c r="AL978" s="52"/>
      <c r="AM978" s="52"/>
      <c r="AN978" s="52"/>
      <c r="AO978" s="52"/>
      <c r="AP978" s="52"/>
      <c r="AQ978" s="52"/>
      <c r="AR978" s="52"/>
      <c r="AS978" s="52"/>
      <c r="AT978" s="52"/>
      <c r="AU978" s="47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</row>
    <row r="979">
      <c r="A979" s="52"/>
      <c r="B979" s="52"/>
      <c r="C979" s="50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  <c r="AK979" s="52"/>
      <c r="AL979" s="52"/>
      <c r="AM979" s="52"/>
      <c r="AN979" s="52"/>
      <c r="AO979" s="52"/>
      <c r="AP979" s="52"/>
      <c r="AQ979" s="52"/>
      <c r="AR979" s="52"/>
      <c r="AS979" s="52"/>
      <c r="AT979" s="52"/>
      <c r="AU979" s="47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</row>
    <row r="980">
      <c r="A980" s="52"/>
      <c r="B980" s="52"/>
      <c r="C980" s="50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/>
      <c r="AT980" s="52"/>
      <c r="AU980" s="47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</row>
    <row r="981">
      <c r="A981" s="52"/>
      <c r="B981" s="52"/>
      <c r="C981" s="50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/>
      <c r="AT981" s="52"/>
      <c r="AU981" s="47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</row>
    <row r="982">
      <c r="A982" s="52"/>
      <c r="B982" s="52"/>
      <c r="C982" s="50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47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</row>
    <row r="983">
      <c r="A983" s="52"/>
      <c r="B983" s="52"/>
      <c r="C983" s="50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2"/>
      <c r="AS983" s="52"/>
      <c r="AT983" s="52"/>
      <c r="AU983" s="47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</row>
    <row r="984">
      <c r="A984" s="52"/>
      <c r="B984" s="52"/>
      <c r="C984" s="50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2"/>
      <c r="AS984" s="52"/>
      <c r="AT984" s="52"/>
      <c r="AU984" s="47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</row>
    <row r="985">
      <c r="A985" s="52"/>
      <c r="B985" s="52"/>
      <c r="C985" s="50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/>
      <c r="AT985" s="52"/>
      <c r="AU985" s="47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</row>
    <row r="986">
      <c r="A986" s="52"/>
      <c r="B986" s="52"/>
      <c r="C986" s="50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/>
      <c r="AT986" s="52"/>
      <c r="AU986" s="47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</row>
    <row r="987">
      <c r="A987" s="52"/>
      <c r="B987" s="52"/>
      <c r="C987" s="50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47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</row>
    <row r="988">
      <c r="A988" s="52"/>
      <c r="B988" s="52"/>
      <c r="C988" s="50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/>
      <c r="AT988" s="52"/>
      <c r="AU988" s="47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</row>
    <row r="989">
      <c r="A989" s="52"/>
      <c r="B989" s="52"/>
      <c r="C989" s="50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/>
      <c r="AT989" s="52"/>
      <c r="AU989" s="47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</row>
    <row r="990">
      <c r="A990" s="52"/>
      <c r="B990" s="52"/>
      <c r="C990" s="50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/>
      <c r="AT990" s="52"/>
      <c r="AU990" s="47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</row>
    <row r="991">
      <c r="A991" s="52"/>
      <c r="B991" s="52"/>
      <c r="C991" s="50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/>
      <c r="AT991" s="52"/>
      <c r="AU991" s="47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</row>
    <row r="992">
      <c r="A992" s="52"/>
      <c r="B992" s="52"/>
      <c r="C992" s="50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/>
      <c r="AT992" s="52"/>
      <c r="AU992" s="47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</row>
    <row r="993">
      <c r="A993" s="52"/>
      <c r="B993" s="52"/>
      <c r="C993" s="50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/>
      <c r="AT993" s="52"/>
      <c r="AU993" s="47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</row>
    <row r="994">
      <c r="A994" s="52"/>
      <c r="B994" s="52"/>
      <c r="C994" s="50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/>
      <c r="AT994" s="52"/>
      <c r="AU994" s="47"/>
      <c r="AV994" s="52"/>
      <c r="AW994" s="52"/>
      <c r="AX994" s="52"/>
      <c r="AY994" s="52"/>
      <c r="AZ994" s="52"/>
      <c r="BA994" s="52"/>
      <c r="BB994" s="52"/>
      <c r="BC994" s="52"/>
      <c r="BD994" s="52"/>
      <c r="BE994" s="52"/>
      <c r="BF994" s="52"/>
      <c r="BG994" s="52"/>
    </row>
    <row r="995">
      <c r="A995" s="52"/>
      <c r="B995" s="52"/>
      <c r="C995" s="50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/>
      <c r="AT995" s="52"/>
      <c r="AU995" s="47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</row>
    <row r="996">
      <c r="A996" s="52"/>
      <c r="B996" s="52"/>
      <c r="C996" s="50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/>
      <c r="AT996" s="52"/>
      <c r="AU996" s="47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</row>
    <row r="997">
      <c r="A997" s="52"/>
      <c r="B997" s="52"/>
      <c r="C997" s="50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/>
      <c r="AT997" s="52"/>
      <c r="AU997" s="47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</row>
    <row r="998">
      <c r="A998" s="52"/>
      <c r="B998" s="52"/>
      <c r="C998" s="50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/>
      <c r="AT998" s="52"/>
      <c r="AU998" s="47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</row>
  </sheetData>
  <mergeCells count="20">
    <mergeCell ref="A1:A2"/>
    <mergeCell ref="B1:B2"/>
    <mergeCell ref="C1:E1"/>
    <mergeCell ref="F1:H1"/>
    <mergeCell ref="I1:K1"/>
    <mergeCell ref="L1:N1"/>
    <mergeCell ref="O1:Q1"/>
    <mergeCell ref="AM1:AO1"/>
    <mergeCell ref="AP1:AR1"/>
    <mergeCell ref="AS1:AT1"/>
    <mergeCell ref="AU1:AV1"/>
    <mergeCell ref="AW1:AY1"/>
    <mergeCell ref="AZ1:BB1"/>
    <mergeCell ref="R1:T1"/>
    <mergeCell ref="U1:W1"/>
    <mergeCell ref="X1:Z1"/>
    <mergeCell ref="AA1:AC1"/>
    <mergeCell ref="AD1:AF1"/>
    <mergeCell ref="AG1:AI1"/>
    <mergeCell ref="AJ1:AL1"/>
  </mergeCells>
  <conditionalFormatting sqref="AU45">
    <cfRule type="notContainsBlanks" dxfId="8" priority="1">
      <formula>LEN(TRIM(AU45))&gt;0</formula>
    </cfRule>
  </conditionalFormatting>
  <conditionalFormatting sqref="AU45">
    <cfRule type="notContainsBlanks" dxfId="8" priority="2">
      <formula>LEN(TRIM(AU45))&gt;0</formula>
    </cfRule>
  </conditionalFormatting>
  <conditionalFormatting sqref="AU3:AU43">
    <cfRule type="containsBlanks" dxfId="8" priority="3">
      <formula>LEN(TRIM(AU3))=0</formula>
    </cfRule>
  </conditionalFormatting>
  <conditionalFormatting sqref="AU1:AU998">
    <cfRule type="colorScale" priority="4">
      <colorScale>
        <cfvo type="min"/>
        <cfvo type="max"/>
        <color rgb="FFFFFFFF"/>
        <color rgb="FF57BB8A"/>
      </colorScale>
    </cfRule>
  </conditionalFormatting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1.75"/>
    <col customWidth="1" min="3" max="13" width="6.38"/>
  </cols>
  <sheetData>
    <row r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23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>
        <v>1.0</v>
      </c>
      <c r="B2" s="10" t="s">
        <v>24</v>
      </c>
      <c r="C2" s="11">
        <f t="shared" ref="C2:M2" si="1">RANDBETWEEN(0,100)</f>
        <v>4</v>
      </c>
      <c r="D2" s="11">
        <f t="shared" si="1"/>
        <v>90</v>
      </c>
      <c r="E2" s="11">
        <f t="shared" si="1"/>
        <v>64</v>
      </c>
      <c r="F2" s="11">
        <f t="shared" si="1"/>
        <v>15</v>
      </c>
      <c r="G2" s="11">
        <f t="shared" si="1"/>
        <v>72</v>
      </c>
      <c r="H2" s="11">
        <f t="shared" si="1"/>
        <v>85</v>
      </c>
      <c r="I2" s="11">
        <f t="shared" si="1"/>
        <v>67</v>
      </c>
      <c r="J2" s="11">
        <f t="shared" si="1"/>
        <v>79</v>
      </c>
      <c r="K2" s="11">
        <f t="shared" si="1"/>
        <v>7</v>
      </c>
      <c r="L2" s="11">
        <f t="shared" si="1"/>
        <v>92</v>
      </c>
      <c r="M2" s="11">
        <f t="shared" si="1"/>
        <v>52</v>
      </c>
    </row>
    <row r="3">
      <c r="A3" s="9">
        <v>2.0</v>
      </c>
      <c r="B3" s="10" t="s">
        <v>27</v>
      </c>
      <c r="C3" s="11">
        <f t="shared" ref="C3:H3" si="2">RANDBETWEEN(0,100)</f>
        <v>33</v>
      </c>
      <c r="D3" s="11">
        <f t="shared" si="2"/>
        <v>8</v>
      </c>
      <c r="E3" s="11">
        <f t="shared" si="2"/>
        <v>36</v>
      </c>
      <c r="F3" s="11">
        <f t="shared" si="2"/>
        <v>70</v>
      </c>
      <c r="G3" s="11">
        <f t="shared" si="2"/>
        <v>62</v>
      </c>
      <c r="H3" s="11">
        <f t="shared" si="2"/>
        <v>97</v>
      </c>
      <c r="I3" s="11"/>
      <c r="J3" s="11">
        <f t="shared" ref="J3:M3" si="3">RANDBETWEEN(0,100)</f>
        <v>8</v>
      </c>
      <c r="K3" s="11">
        <f t="shared" si="3"/>
        <v>21</v>
      </c>
      <c r="L3" s="11">
        <f t="shared" si="3"/>
        <v>16</v>
      </c>
      <c r="M3" s="11">
        <f t="shared" si="3"/>
        <v>94</v>
      </c>
    </row>
    <row r="4">
      <c r="A4" s="9">
        <v>3.0</v>
      </c>
      <c r="B4" s="10" t="s">
        <v>30</v>
      </c>
      <c r="C4" s="11">
        <f t="shared" ref="C4:M4" si="4">RANDBETWEEN(0,100)</f>
        <v>53</v>
      </c>
      <c r="D4" s="11">
        <f t="shared" si="4"/>
        <v>55</v>
      </c>
      <c r="E4" s="11">
        <f t="shared" si="4"/>
        <v>41</v>
      </c>
      <c r="F4" s="11">
        <f t="shared" si="4"/>
        <v>20</v>
      </c>
      <c r="G4" s="11">
        <f t="shared" si="4"/>
        <v>50</v>
      </c>
      <c r="H4" s="11">
        <f t="shared" si="4"/>
        <v>39</v>
      </c>
      <c r="I4" s="11">
        <f t="shared" si="4"/>
        <v>47</v>
      </c>
      <c r="J4" s="11">
        <f t="shared" si="4"/>
        <v>22</v>
      </c>
      <c r="K4" s="11">
        <f t="shared" si="4"/>
        <v>81</v>
      </c>
      <c r="L4" s="11">
        <f t="shared" si="4"/>
        <v>60</v>
      </c>
      <c r="M4" s="11">
        <f t="shared" si="4"/>
        <v>77</v>
      </c>
    </row>
    <row r="5">
      <c r="A5" s="9">
        <v>4.0</v>
      </c>
      <c r="B5" s="10" t="s">
        <v>33</v>
      </c>
      <c r="C5" s="11">
        <f t="shared" ref="C5:F5" si="5">RANDBETWEEN(0,100)</f>
        <v>85</v>
      </c>
      <c r="D5" s="11">
        <f t="shared" si="5"/>
        <v>17</v>
      </c>
      <c r="E5" s="11">
        <f t="shared" si="5"/>
        <v>47</v>
      </c>
      <c r="F5" s="11">
        <f t="shared" si="5"/>
        <v>63</v>
      </c>
      <c r="G5" s="11"/>
      <c r="H5" s="11">
        <f t="shared" ref="H5:J5" si="6">RANDBETWEEN(0,100)</f>
        <v>57</v>
      </c>
      <c r="I5" s="11">
        <f t="shared" si="6"/>
        <v>1</v>
      </c>
      <c r="J5" s="11">
        <f t="shared" si="6"/>
        <v>20</v>
      </c>
      <c r="K5" s="11"/>
      <c r="L5" s="11">
        <f t="shared" ref="L5:M5" si="7">RANDBETWEEN(0,100)</f>
        <v>34</v>
      </c>
      <c r="M5" s="11">
        <f t="shared" si="7"/>
        <v>39</v>
      </c>
    </row>
    <row r="6">
      <c r="A6" s="9">
        <v>5.0</v>
      </c>
      <c r="B6" s="10" t="s">
        <v>35</v>
      </c>
      <c r="C6" s="11">
        <f t="shared" ref="C6:M6" si="8">RANDBETWEEN(0,100)</f>
        <v>32</v>
      </c>
      <c r="D6" s="11">
        <f t="shared" si="8"/>
        <v>9</v>
      </c>
      <c r="E6" s="11">
        <f t="shared" si="8"/>
        <v>18</v>
      </c>
      <c r="F6" s="11">
        <f t="shared" si="8"/>
        <v>57</v>
      </c>
      <c r="G6" s="11">
        <f t="shared" si="8"/>
        <v>67</v>
      </c>
      <c r="H6" s="11">
        <f t="shared" si="8"/>
        <v>59</v>
      </c>
      <c r="I6" s="11">
        <f t="shared" si="8"/>
        <v>97</v>
      </c>
      <c r="J6" s="11">
        <f t="shared" si="8"/>
        <v>45</v>
      </c>
      <c r="K6" s="11">
        <f t="shared" si="8"/>
        <v>72</v>
      </c>
      <c r="L6" s="11">
        <f t="shared" si="8"/>
        <v>27</v>
      </c>
      <c r="M6" s="11">
        <f t="shared" si="8"/>
        <v>19</v>
      </c>
    </row>
    <row r="7">
      <c r="A7" s="9">
        <v>6.0</v>
      </c>
      <c r="B7" s="10" t="s">
        <v>38</v>
      </c>
      <c r="C7" s="11">
        <f t="shared" ref="C7:K7" si="9">RANDBETWEEN(0,100)</f>
        <v>73</v>
      </c>
      <c r="D7" s="11">
        <f t="shared" si="9"/>
        <v>12</v>
      </c>
      <c r="E7" s="11">
        <f t="shared" si="9"/>
        <v>11</v>
      </c>
      <c r="F7" s="11">
        <f t="shared" si="9"/>
        <v>35</v>
      </c>
      <c r="G7" s="11">
        <f t="shared" si="9"/>
        <v>25</v>
      </c>
      <c r="H7" s="11">
        <f t="shared" si="9"/>
        <v>90</v>
      </c>
      <c r="I7" s="11">
        <f t="shared" si="9"/>
        <v>95</v>
      </c>
      <c r="J7" s="11">
        <f t="shared" si="9"/>
        <v>0</v>
      </c>
      <c r="K7" s="11">
        <f t="shared" si="9"/>
        <v>16</v>
      </c>
      <c r="L7" s="11"/>
      <c r="M7" s="11">
        <f>RANDBETWEEN(0,100)</f>
        <v>55</v>
      </c>
    </row>
    <row r="8">
      <c r="A8" s="9">
        <v>7.0</v>
      </c>
      <c r="B8" s="10" t="s">
        <v>40</v>
      </c>
      <c r="C8" s="11">
        <f t="shared" ref="C8:C21" si="11">RANDBETWEEN(0,100)</f>
        <v>51</v>
      </c>
      <c r="D8" s="11"/>
      <c r="E8" s="11">
        <f t="shared" ref="E8:M8" si="10">RANDBETWEEN(0,100)</f>
        <v>75</v>
      </c>
      <c r="F8" s="11">
        <f t="shared" si="10"/>
        <v>87</v>
      </c>
      <c r="G8" s="11">
        <f t="shared" si="10"/>
        <v>10</v>
      </c>
      <c r="H8" s="11">
        <f t="shared" si="10"/>
        <v>22</v>
      </c>
      <c r="I8" s="11">
        <f t="shared" si="10"/>
        <v>18</v>
      </c>
      <c r="J8" s="11">
        <f t="shared" si="10"/>
        <v>63</v>
      </c>
      <c r="K8" s="11">
        <f t="shared" si="10"/>
        <v>53</v>
      </c>
      <c r="L8" s="11">
        <f t="shared" si="10"/>
        <v>49</v>
      </c>
      <c r="M8" s="11">
        <f t="shared" si="10"/>
        <v>37</v>
      </c>
    </row>
    <row r="9">
      <c r="A9" s="9">
        <v>8.0</v>
      </c>
      <c r="B9" s="10" t="s">
        <v>43</v>
      </c>
      <c r="C9" s="11">
        <f t="shared" si="11"/>
        <v>71</v>
      </c>
      <c r="D9" s="11">
        <f t="shared" ref="D9:M9" si="12">RANDBETWEEN(0,100)</f>
        <v>27</v>
      </c>
      <c r="E9" s="11">
        <f t="shared" si="12"/>
        <v>39</v>
      </c>
      <c r="F9" s="11">
        <f t="shared" si="12"/>
        <v>97</v>
      </c>
      <c r="G9" s="11">
        <f t="shared" si="12"/>
        <v>1</v>
      </c>
      <c r="H9" s="11">
        <f t="shared" si="12"/>
        <v>39</v>
      </c>
      <c r="I9" s="11">
        <f t="shared" si="12"/>
        <v>14</v>
      </c>
      <c r="J9" s="11">
        <f t="shared" si="12"/>
        <v>47</v>
      </c>
      <c r="K9" s="11">
        <f t="shared" si="12"/>
        <v>45</v>
      </c>
      <c r="L9" s="11">
        <f t="shared" si="12"/>
        <v>47</v>
      </c>
      <c r="M9" s="11">
        <f t="shared" si="12"/>
        <v>3</v>
      </c>
    </row>
    <row r="10">
      <c r="A10" s="9">
        <v>9.0</v>
      </c>
      <c r="B10" s="10" t="s">
        <v>45</v>
      </c>
      <c r="C10" s="11">
        <f t="shared" si="11"/>
        <v>47</v>
      </c>
      <c r="D10" s="11">
        <f t="shared" ref="D10:F10" si="13">RANDBETWEEN(0,100)</f>
        <v>45</v>
      </c>
      <c r="E10" s="11">
        <f t="shared" si="13"/>
        <v>70</v>
      </c>
      <c r="F10" s="11">
        <f t="shared" si="13"/>
        <v>58</v>
      </c>
      <c r="G10" s="11"/>
      <c r="H10" s="11">
        <f t="shared" ref="H10:M10" si="14">RANDBETWEEN(0,100)</f>
        <v>36</v>
      </c>
      <c r="I10" s="11">
        <f t="shared" si="14"/>
        <v>17</v>
      </c>
      <c r="J10" s="11">
        <f t="shared" si="14"/>
        <v>37</v>
      </c>
      <c r="K10" s="11">
        <f t="shared" si="14"/>
        <v>42</v>
      </c>
      <c r="L10" s="11">
        <f t="shared" si="14"/>
        <v>22</v>
      </c>
      <c r="M10" s="11">
        <f t="shared" si="14"/>
        <v>39</v>
      </c>
    </row>
    <row r="11">
      <c r="A11" s="9">
        <v>10.0</v>
      </c>
      <c r="B11" s="10" t="s">
        <v>48</v>
      </c>
      <c r="C11" s="11">
        <f t="shared" si="11"/>
        <v>69</v>
      </c>
      <c r="D11" s="11">
        <f t="shared" ref="D11:G11" si="15">RANDBETWEEN(0,100)</f>
        <v>86</v>
      </c>
      <c r="E11" s="11">
        <f t="shared" si="15"/>
        <v>59</v>
      </c>
      <c r="F11" s="11">
        <f t="shared" si="15"/>
        <v>75</v>
      </c>
      <c r="G11" s="11">
        <f t="shared" si="15"/>
        <v>51</v>
      </c>
      <c r="H11" s="11"/>
      <c r="I11" s="11">
        <f t="shared" ref="I11:M11" si="16">RANDBETWEEN(0,100)</f>
        <v>65</v>
      </c>
      <c r="J11" s="11">
        <f t="shared" si="16"/>
        <v>64</v>
      </c>
      <c r="K11" s="11">
        <f t="shared" si="16"/>
        <v>17</v>
      </c>
      <c r="L11" s="11">
        <f t="shared" si="16"/>
        <v>97</v>
      </c>
      <c r="M11" s="11">
        <f t="shared" si="16"/>
        <v>66</v>
      </c>
    </row>
    <row r="12">
      <c r="A12" s="9">
        <v>11.0</v>
      </c>
      <c r="B12" s="10" t="s">
        <v>50</v>
      </c>
      <c r="C12" s="11">
        <f t="shared" si="11"/>
        <v>42</v>
      </c>
      <c r="D12" s="11">
        <f t="shared" ref="D12:M12" si="17">RANDBETWEEN(0,100)</f>
        <v>96</v>
      </c>
      <c r="E12" s="11">
        <f t="shared" si="17"/>
        <v>90</v>
      </c>
      <c r="F12" s="11">
        <f t="shared" si="17"/>
        <v>81</v>
      </c>
      <c r="G12" s="11">
        <f t="shared" si="17"/>
        <v>97</v>
      </c>
      <c r="H12" s="11">
        <f t="shared" si="17"/>
        <v>66</v>
      </c>
      <c r="I12" s="11">
        <f t="shared" si="17"/>
        <v>40</v>
      </c>
      <c r="J12" s="11">
        <f t="shared" si="17"/>
        <v>24</v>
      </c>
      <c r="K12" s="11">
        <f t="shared" si="17"/>
        <v>62</v>
      </c>
      <c r="L12" s="11">
        <f t="shared" si="17"/>
        <v>71</v>
      </c>
      <c r="M12" s="11">
        <f t="shared" si="17"/>
        <v>61</v>
      </c>
    </row>
    <row r="13">
      <c r="A13" s="9">
        <v>12.0</v>
      </c>
      <c r="B13" s="10" t="s">
        <v>53</v>
      </c>
      <c r="C13" s="11">
        <f t="shared" si="11"/>
        <v>68</v>
      </c>
      <c r="D13" s="11">
        <f t="shared" ref="D13:M13" si="18">RANDBETWEEN(0,100)</f>
        <v>24</v>
      </c>
      <c r="E13" s="11">
        <f t="shared" si="18"/>
        <v>22</v>
      </c>
      <c r="F13" s="11">
        <f t="shared" si="18"/>
        <v>22</v>
      </c>
      <c r="G13" s="11">
        <f t="shared" si="18"/>
        <v>96</v>
      </c>
      <c r="H13" s="11">
        <f t="shared" si="18"/>
        <v>87</v>
      </c>
      <c r="I13" s="11">
        <f t="shared" si="18"/>
        <v>81</v>
      </c>
      <c r="J13" s="11">
        <f t="shared" si="18"/>
        <v>22</v>
      </c>
      <c r="K13" s="11">
        <f t="shared" si="18"/>
        <v>10</v>
      </c>
      <c r="L13" s="11">
        <f t="shared" si="18"/>
        <v>17</v>
      </c>
      <c r="M13" s="11">
        <f t="shared" si="18"/>
        <v>54</v>
      </c>
    </row>
    <row r="14">
      <c r="A14" s="9">
        <v>13.0</v>
      </c>
      <c r="B14" s="10" t="s">
        <v>55</v>
      </c>
      <c r="C14" s="11">
        <f t="shared" si="11"/>
        <v>35</v>
      </c>
      <c r="D14" s="11">
        <f t="shared" ref="D14:M14" si="19">RANDBETWEEN(0,100)</f>
        <v>22</v>
      </c>
      <c r="E14" s="11">
        <f t="shared" si="19"/>
        <v>79</v>
      </c>
      <c r="F14" s="11">
        <f t="shared" si="19"/>
        <v>12</v>
      </c>
      <c r="G14" s="11">
        <f t="shared" si="19"/>
        <v>6</v>
      </c>
      <c r="H14" s="11">
        <f t="shared" si="19"/>
        <v>37</v>
      </c>
      <c r="I14" s="11">
        <f t="shared" si="19"/>
        <v>53</v>
      </c>
      <c r="J14" s="11">
        <f t="shared" si="19"/>
        <v>51</v>
      </c>
      <c r="K14" s="11">
        <f t="shared" si="19"/>
        <v>61</v>
      </c>
      <c r="L14" s="11">
        <f t="shared" si="19"/>
        <v>22</v>
      </c>
      <c r="M14" s="11">
        <f t="shared" si="19"/>
        <v>79</v>
      </c>
    </row>
    <row r="15">
      <c r="A15" s="9">
        <v>14.0</v>
      </c>
      <c r="B15" s="10" t="s">
        <v>82</v>
      </c>
      <c r="C15" s="11">
        <f t="shared" si="11"/>
        <v>43</v>
      </c>
      <c r="D15" s="11">
        <f t="shared" ref="D15:D21" si="21">RANDBETWEEN(0,100)</f>
        <v>8</v>
      </c>
      <c r="E15" s="11"/>
      <c r="F15" s="11">
        <f t="shared" ref="F15:M15" si="20">RANDBETWEEN(0,100)</f>
        <v>22</v>
      </c>
      <c r="G15" s="11">
        <f t="shared" si="20"/>
        <v>8</v>
      </c>
      <c r="H15" s="11">
        <f t="shared" si="20"/>
        <v>43</v>
      </c>
      <c r="I15" s="11">
        <f t="shared" si="20"/>
        <v>87</v>
      </c>
      <c r="J15" s="11">
        <f t="shared" si="20"/>
        <v>64</v>
      </c>
      <c r="K15" s="11">
        <f t="shared" si="20"/>
        <v>37</v>
      </c>
      <c r="L15" s="11">
        <f t="shared" si="20"/>
        <v>48</v>
      </c>
      <c r="M15" s="11">
        <f t="shared" si="20"/>
        <v>25</v>
      </c>
    </row>
    <row r="16">
      <c r="A16" s="9">
        <v>15.0</v>
      </c>
      <c r="B16" s="10" t="s">
        <v>83</v>
      </c>
      <c r="C16" s="11">
        <f t="shared" si="11"/>
        <v>90</v>
      </c>
      <c r="D16" s="11">
        <f t="shared" si="21"/>
        <v>4</v>
      </c>
      <c r="E16" s="11">
        <f t="shared" ref="E16:I16" si="22">RANDBETWEEN(0,100)</f>
        <v>2</v>
      </c>
      <c r="F16" s="11">
        <f t="shared" si="22"/>
        <v>36</v>
      </c>
      <c r="G16" s="11">
        <f t="shared" si="22"/>
        <v>45</v>
      </c>
      <c r="H16" s="11">
        <f t="shared" si="22"/>
        <v>99</v>
      </c>
      <c r="I16" s="11">
        <f t="shared" si="22"/>
        <v>18</v>
      </c>
      <c r="J16" s="11"/>
      <c r="K16" s="11">
        <f t="shared" ref="K16:M16" si="23">RANDBETWEEN(0,100)</f>
        <v>32</v>
      </c>
      <c r="L16" s="11">
        <f t="shared" si="23"/>
        <v>22</v>
      </c>
      <c r="M16" s="11">
        <f t="shared" si="23"/>
        <v>88</v>
      </c>
    </row>
    <row r="17">
      <c r="A17" s="9">
        <v>16.0</v>
      </c>
      <c r="B17" s="10" t="s">
        <v>84</v>
      </c>
      <c r="C17" s="11">
        <f t="shared" si="11"/>
        <v>81</v>
      </c>
      <c r="D17" s="11">
        <f t="shared" si="21"/>
        <v>26</v>
      </c>
      <c r="E17" s="11">
        <f t="shared" ref="E17:M17" si="24">RANDBETWEEN(0,100)</f>
        <v>84</v>
      </c>
      <c r="F17" s="11">
        <f t="shared" si="24"/>
        <v>96</v>
      </c>
      <c r="G17" s="11">
        <f t="shared" si="24"/>
        <v>33</v>
      </c>
      <c r="H17" s="11">
        <f t="shared" si="24"/>
        <v>78</v>
      </c>
      <c r="I17" s="11">
        <f t="shared" si="24"/>
        <v>83</v>
      </c>
      <c r="J17" s="11">
        <f t="shared" si="24"/>
        <v>60</v>
      </c>
      <c r="K17" s="11">
        <f t="shared" si="24"/>
        <v>54</v>
      </c>
      <c r="L17" s="11">
        <f t="shared" si="24"/>
        <v>30</v>
      </c>
      <c r="M17" s="11">
        <f t="shared" si="24"/>
        <v>60</v>
      </c>
    </row>
    <row r="18">
      <c r="A18" s="9">
        <v>17.0</v>
      </c>
      <c r="B18" s="10" t="s">
        <v>85</v>
      </c>
      <c r="C18" s="11">
        <f t="shared" si="11"/>
        <v>2</v>
      </c>
      <c r="D18" s="11">
        <f t="shared" si="21"/>
        <v>7</v>
      </c>
      <c r="E18" s="11">
        <f t="shared" ref="E18:M18" si="25">RANDBETWEEN(0,100)</f>
        <v>21</v>
      </c>
      <c r="F18" s="11">
        <f t="shared" si="25"/>
        <v>48</v>
      </c>
      <c r="G18" s="11">
        <f t="shared" si="25"/>
        <v>45</v>
      </c>
      <c r="H18" s="11">
        <f t="shared" si="25"/>
        <v>88</v>
      </c>
      <c r="I18" s="11">
        <f t="shared" si="25"/>
        <v>25</v>
      </c>
      <c r="J18" s="11">
        <f t="shared" si="25"/>
        <v>48</v>
      </c>
      <c r="K18" s="11">
        <f t="shared" si="25"/>
        <v>85</v>
      </c>
      <c r="L18" s="11">
        <f t="shared" si="25"/>
        <v>100</v>
      </c>
      <c r="M18" s="11">
        <f t="shared" si="25"/>
        <v>92</v>
      </c>
    </row>
    <row r="19">
      <c r="A19" s="9">
        <v>18.0</v>
      </c>
      <c r="B19" s="10" t="s">
        <v>86</v>
      </c>
      <c r="C19" s="11">
        <f t="shared" si="11"/>
        <v>77</v>
      </c>
      <c r="D19" s="11">
        <f t="shared" si="21"/>
        <v>60</v>
      </c>
      <c r="E19" s="11">
        <f t="shared" ref="E19:K19" si="26">RANDBETWEEN(0,100)</f>
        <v>45</v>
      </c>
      <c r="F19" s="11">
        <f t="shared" si="26"/>
        <v>99</v>
      </c>
      <c r="G19" s="11">
        <f t="shared" si="26"/>
        <v>44</v>
      </c>
      <c r="H19" s="11">
        <f t="shared" si="26"/>
        <v>63</v>
      </c>
      <c r="I19" s="11">
        <f t="shared" si="26"/>
        <v>63</v>
      </c>
      <c r="J19" s="11">
        <f t="shared" si="26"/>
        <v>1</v>
      </c>
      <c r="K19" s="11">
        <f t="shared" si="26"/>
        <v>98</v>
      </c>
      <c r="L19" s="11"/>
      <c r="M19" s="11">
        <f>RANDBETWEEN(0,100)</f>
        <v>29</v>
      </c>
    </row>
    <row r="20">
      <c r="A20" s="9">
        <v>19.0</v>
      </c>
      <c r="B20" s="10" t="s">
        <v>87</v>
      </c>
      <c r="C20" s="11">
        <f t="shared" si="11"/>
        <v>21</v>
      </c>
      <c r="D20" s="11">
        <f t="shared" si="21"/>
        <v>4</v>
      </c>
      <c r="E20" s="11">
        <f t="shared" ref="E20:E21" si="28">RANDBETWEEN(0,100)</f>
        <v>26</v>
      </c>
      <c r="F20" s="11"/>
      <c r="G20" s="11">
        <f t="shared" ref="G20:M20" si="27">RANDBETWEEN(0,100)</f>
        <v>46</v>
      </c>
      <c r="H20" s="11">
        <f t="shared" si="27"/>
        <v>13</v>
      </c>
      <c r="I20" s="11">
        <f t="shared" si="27"/>
        <v>40</v>
      </c>
      <c r="J20" s="11">
        <f t="shared" si="27"/>
        <v>75</v>
      </c>
      <c r="K20" s="11">
        <f t="shared" si="27"/>
        <v>3</v>
      </c>
      <c r="L20" s="11">
        <f t="shared" si="27"/>
        <v>40</v>
      </c>
      <c r="M20" s="11">
        <f t="shared" si="27"/>
        <v>39</v>
      </c>
    </row>
    <row r="21">
      <c r="A21" s="9">
        <v>20.0</v>
      </c>
      <c r="B21" s="10" t="s">
        <v>88</v>
      </c>
      <c r="C21" s="11">
        <f t="shared" si="11"/>
        <v>56</v>
      </c>
      <c r="D21" s="11">
        <f t="shared" si="21"/>
        <v>53</v>
      </c>
      <c r="E21" s="11">
        <f t="shared" si="28"/>
        <v>60</v>
      </c>
      <c r="F21" s="11">
        <f t="shared" ref="F21:M21" si="29">RANDBETWEEN(0,100)</f>
        <v>33</v>
      </c>
      <c r="G21" s="11">
        <f t="shared" si="29"/>
        <v>58</v>
      </c>
      <c r="H21" s="11">
        <f t="shared" si="29"/>
        <v>87</v>
      </c>
      <c r="I21" s="11">
        <f t="shared" si="29"/>
        <v>30</v>
      </c>
      <c r="J21" s="11">
        <f t="shared" si="29"/>
        <v>65</v>
      </c>
      <c r="K21" s="11">
        <f t="shared" si="29"/>
        <v>67</v>
      </c>
      <c r="L21" s="11">
        <f t="shared" si="29"/>
        <v>56</v>
      </c>
      <c r="M21" s="11">
        <f t="shared" si="29"/>
        <v>29</v>
      </c>
    </row>
    <row r="22">
      <c r="A22" s="9"/>
      <c r="B22" s="16"/>
      <c r="C22" s="9"/>
      <c r="D22" s="9"/>
      <c r="E22" s="16"/>
      <c r="F22" s="16"/>
      <c r="G22" s="16"/>
      <c r="H22" s="16"/>
      <c r="I22" s="16"/>
      <c r="J22" s="16"/>
      <c r="K22" s="16"/>
      <c r="L22" s="16"/>
      <c r="M22" s="16"/>
    </row>
    <row r="23">
      <c r="A23" s="9"/>
      <c r="B23" s="16"/>
      <c r="D23" s="9"/>
      <c r="E23" s="16"/>
      <c r="F23" s="16"/>
      <c r="G23" s="16"/>
      <c r="H23" s="16"/>
      <c r="I23" s="16"/>
      <c r="J23" s="9"/>
      <c r="K23" s="16"/>
      <c r="L23" s="16"/>
      <c r="M23" s="16"/>
    </row>
    <row r="24">
      <c r="A24" s="9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</row>
  </sheetData>
  <conditionalFormatting sqref="C2:M21">
    <cfRule type="containsBlanks" dxfId="0" priority="1">
      <formula>LEN(TRIM(C2))=0</formula>
    </cfRule>
  </conditionalFormatting>
  <conditionalFormatting sqref="C2:M21">
    <cfRule type="cellIs" dxfId="1" priority="2" operator="lessThan">
      <formula>60</formula>
    </cfRule>
  </conditionalFormatting>
  <conditionalFormatting sqref="C2:M21">
    <cfRule type="cellIs" dxfId="2" priority="3" operator="between">
      <formula>60</formula>
      <formula>74</formula>
    </cfRule>
  </conditionalFormatting>
  <conditionalFormatting sqref="C2:M21">
    <cfRule type="cellIs" dxfId="3" priority="4" operator="between">
      <formula>75</formula>
      <formula>89</formula>
    </cfRule>
  </conditionalFormatting>
  <conditionalFormatting sqref="C2:M21">
    <cfRule type="cellIs" dxfId="4" priority="5" operator="greaterThan">
      <formula>89</formula>
    </cfRule>
  </conditionalFormatting>
  <conditionalFormatting sqref="A1:A1000">
    <cfRule type="cellIs" dxfId="5" priority="6" operator="between">
      <formula>2</formula>
      <formula>4</formula>
    </cfRule>
  </conditionalFormatting>
  <conditionalFormatting sqref="A1:A1000">
    <cfRule type="cellIs" dxfId="6" priority="7" operator="between">
      <formula>6</formula>
      <formula>8</formula>
    </cfRule>
  </conditionalFormatting>
  <conditionalFormatting sqref="A1:A1000">
    <cfRule type="cellIs" dxfId="6" priority="8" operator="between">
      <formula>6</formula>
      <formula>8</formula>
    </cfRule>
  </conditionalFormatting>
  <conditionalFormatting sqref="A1:A1000">
    <cfRule type="cellIs" dxfId="7" priority="9" operator="between">
      <formula>12</formula>
      <formula>15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60</v>
      </c>
      <c r="B1" s="12" t="s">
        <v>61</v>
      </c>
      <c r="C1" s="13" t="s">
        <v>62</v>
      </c>
      <c r="D1" s="12" t="s">
        <v>63</v>
      </c>
      <c r="E1" s="12" t="s">
        <v>64</v>
      </c>
      <c r="F1" s="12" t="s">
        <v>65</v>
      </c>
      <c r="G1" s="12" t="s">
        <v>66</v>
      </c>
      <c r="H1" s="12" t="s">
        <v>67</v>
      </c>
    </row>
    <row r="2">
      <c r="A2" s="12">
        <v>1.0</v>
      </c>
      <c r="B2" s="12" t="s">
        <v>68</v>
      </c>
      <c r="C2" s="13">
        <v>77.23</v>
      </c>
      <c r="D2" s="12">
        <v>22.0</v>
      </c>
      <c r="E2" s="12" t="s">
        <v>69</v>
      </c>
      <c r="F2" s="14">
        <f t="shared" ref="F2:F13" si="1">C2*D2</f>
        <v>1699.06</v>
      </c>
      <c r="G2" s="14">
        <f t="shared" ref="G2:G13" si="2">IF(F2&lt;1700,F2*0.12,IF(F2&gt;1700,F2*0.2))</f>
        <v>203.8872</v>
      </c>
      <c r="H2" s="14">
        <f t="shared" ref="H2:H13" si="3">F2-G2</f>
        <v>1495.1728</v>
      </c>
    </row>
    <row r="3">
      <c r="A3" s="12">
        <v>2.0</v>
      </c>
      <c r="B3" s="12" t="s">
        <v>70</v>
      </c>
      <c r="C3" s="13">
        <v>76.34</v>
      </c>
      <c r="D3" s="12">
        <v>24.0</v>
      </c>
      <c r="E3" s="12" t="s">
        <v>71</v>
      </c>
      <c r="F3" s="14">
        <f t="shared" si="1"/>
        <v>1832.16</v>
      </c>
      <c r="G3" s="14">
        <f t="shared" si="2"/>
        <v>366.432</v>
      </c>
      <c r="H3" s="14">
        <f t="shared" si="3"/>
        <v>1465.728</v>
      </c>
    </row>
    <row r="4">
      <c r="A4" s="12">
        <v>3.0</v>
      </c>
      <c r="B4" s="12" t="s">
        <v>72</v>
      </c>
      <c r="C4" s="13">
        <v>122.33</v>
      </c>
      <c r="D4" s="12">
        <v>25.0</v>
      </c>
      <c r="E4" s="12" t="s">
        <v>73</v>
      </c>
      <c r="F4" s="14">
        <f t="shared" si="1"/>
        <v>3058.25</v>
      </c>
      <c r="G4" s="14">
        <f t="shared" si="2"/>
        <v>611.65</v>
      </c>
      <c r="H4" s="14">
        <f t="shared" si="3"/>
        <v>2446.6</v>
      </c>
    </row>
    <row r="5">
      <c r="A5" s="12">
        <v>4.0</v>
      </c>
      <c r="B5" s="12" t="s">
        <v>74</v>
      </c>
      <c r="C5" s="13">
        <v>98.56</v>
      </c>
      <c r="D5" s="12">
        <v>26.0</v>
      </c>
      <c r="E5" s="12" t="s">
        <v>75</v>
      </c>
      <c r="F5" s="14">
        <f t="shared" si="1"/>
        <v>2562.56</v>
      </c>
      <c r="G5" s="14">
        <f t="shared" si="2"/>
        <v>512.512</v>
      </c>
      <c r="H5" s="14">
        <f t="shared" si="3"/>
        <v>2050.048</v>
      </c>
    </row>
    <row r="6">
      <c r="A6" s="12">
        <v>5.0</v>
      </c>
      <c r="B6" s="12" t="s">
        <v>76</v>
      </c>
      <c r="C6" s="13">
        <v>97.33</v>
      </c>
      <c r="D6" s="12">
        <v>22.0</v>
      </c>
      <c r="E6" s="12" t="s">
        <v>69</v>
      </c>
      <c r="F6" s="14">
        <f t="shared" si="1"/>
        <v>2141.26</v>
      </c>
      <c r="G6" s="14">
        <f t="shared" si="2"/>
        <v>428.252</v>
      </c>
      <c r="H6" s="14">
        <f t="shared" si="3"/>
        <v>1713.008</v>
      </c>
    </row>
    <row r="7">
      <c r="A7" s="12">
        <v>6.0</v>
      </c>
      <c r="B7" s="12" t="s">
        <v>77</v>
      </c>
      <c r="C7" s="13">
        <v>78.55</v>
      </c>
      <c r="D7" s="12">
        <v>24.0</v>
      </c>
      <c r="E7" s="12" t="s">
        <v>71</v>
      </c>
      <c r="F7" s="14">
        <f t="shared" si="1"/>
        <v>1885.2</v>
      </c>
      <c r="G7" s="14">
        <f t="shared" si="2"/>
        <v>377.04</v>
      </c>
      <c r="H7" s="14">
        <f t="shared" si="3"/>
        <v>1508.16</v>
      </c>
    </row>
    <row r="8">
      <c r="A8" s="12">
        <v>7.0</v>
      </c>
      <c r="B8" s="12" t="s">
        <v>78</v>
      </c>
      <c r="C8" s="13">
        <v>55.66</v>
      </c>
      <c r="D8" s="12">
        <v>25.0</v>
      </c>
      <c r="E8" s="12" t="s">
        <v>73</v>
      </c>
      <c r="F8" s="14">
        <f t="shared" si="1"/>
        <v>1391.5</v>
      </c>
      <c r="G8" s="14">
        <f t="shared" si="2"/>
        <v>166.98</v>
      </c>
      <c r="H8" s="14">
        <f t="shared" si="3"/>
        <v>1224.52</v>
      </c>
    </row>
    <row r="9">
      <c r="A9" s="12">
        <v>8.0</v>
      </c>
      <c r="B9" s="12" t="s">
        <v>74</v>
      </c>
      <c r="C9" s="13">
        <v>45.66</v>
      </c>
      <c r="D9" s="12">
        <v>26.0</v>
      </c>
      <c r="E9" s="12" t="s">
        <v>75</v>
      </c>
      <c r="F9" s="14">
        <f t="shared" si="1"/>
        <v>1187.16</v>
      </c>
      <c r="G9" s="14">
        <f t="shared" si="2"/>
        <v>142.4592</v>
      </c>
      <c r="H9" s="14">
        <f t="shared" si="3"/>
        <v>1044.7008</v>
      </c>
    </row>
    <row r="10">
      <c r="A10" s="12">
        <v>9.0</v>
      </c>
      <c r="B10" s="12" t="s">
        <v>79</v>
      </c>
      <c r="C10" s="13">
        <v>57.88</v>
      </c>
      <c r="D10" s="12">
        <v>22.0</v>
      </c>
      <c r="E10" s="12" t="s">
        <v>69</v>
      </c>
      <c r="F10" s="14">
        <f t="shared" si="1"/>
        <v>1273.36</v>
      </c>
      <c r="G10" s="14">
        <f t="shared" si="2"/>
        <v>152.8032</v>
      </c>
      <c r="H10" s="14">
        <f t="shared" si="3"/>
        <v>1120.5568</v>
      </c>
    </row>
    <row r="11">
      <c r="A11" s="12">
        <v>10.0</v>
      </c>
      <c r="B11" s="12" t="s">
        <v>77</v>
      </c>
      <c r="C11" s="13">
        <v>55.66</v>
      </c>
      <c r="D11" s="12">
        <v>24.0</v>
      </c>
      <c r="E11" s="12" t="s">
        <v>71</v>
      </c>
      <c r="F11" s="14">
        <f t="shared" si="1"/>
        <v>1335.84</v>
      </c>
      <c r="G11" s="14">
        <f t="shared" si="2"/>
        <v>160.3008</v>
      </c>
      <c r="H11" s="14">
        <f t="shared" si="3"/>
        <v>1175.5392</v>
      </c>
    </row>
    <row r="12">
      <c r="A12" s="12">
        <v>11.0</v>
      </c>
      <c r="B12" s="12" t="s">
        <v>80</v>
      </c>
      <c r="C12" s="13">
        <v>45.66</v>
      </c>
      <c r="D12" s="12">
        <v>25.0</v>
      </c>
      <c r="E12" s="12" t="s">
        <v>73</v>
      </c>
      <c r="F12" s="14">
        <f t="shared" si="1"/>
        <v>1141.5</v>
      </c>
      <c r="G12" s="14">
        <f t="shared" si="2"/>
        <v>136.98</v>
      </c>
      <c r="H12" s="14">
        <f t="shared" si="3"/>
        <v>1004.52</v>
      </c>
    </row>
    <row r="13">
      <c r="A13" s="12">
        <v>12.0</v>
      </c>
      <c r="B13" s="12" t="s">
        <v>81</v>
      </c>
      <c r="C13" s="13">
        <v>57.88</v>
      </c>
      <c r="D13" s="12">
        <v>26.0</v>
      </c>
      <c r="E13" s="12" t="s">
        <v>75</v>
      </c>
      <c r="F13" s="14">
        <f t="shared" si="1"/>
        <v>1504.88</v>
      </c>
      <c r="G13" s="14">
        <f t="shared" si="2"/>
        <v>180.5856</v>
      </c>
      <c r="H13" s="14">
        <f t="shared" si="3"/>
        <v>1324.2944</v>
      </c>
    </row>
    <row r="14">
      <c r="C14" s="15"/>
    </row>
    <row r="15">
      <c r="C15" s="15"/>
    </row>
    <row r="16">
      <c r="C16" s="15"/>
    </row>
    <row r="17">
      <c r="C17" s="15"/>
    </row>
    <row r="18">
      <c r="C18" s="15"/>
    </row>
    <row r="19">
      <c r="C19" s="15"/>
    </row>
    <row r="20">
      <c r="C20" s="15"/>
    </row>
    <row r="21">
      <c r="C21" s="15"/>
    </row>
    <row r="22">
      <c r="C22" s="15"/>
    </row>
    <row r="23">
      <c r="C23" s="15"/>
    </row>
    <row r="24">
      <c r="C24" s="15"/>
    </row>
    <row r="25">
      <c r="C25" s="15"/>
    </row>
    <row r="26">
      <c r="C26" s="15"/>
    </row>
    <row r="27">
      <c r="C27" s="15"/>
    </row>
    <row r="28">
      <c r="C28" s="15"/>
    </row>
    <row r="29">
      <c r="C29" s="15"/>
    </row>
    <row r="30">
      <c r="C30" s="15"/>
    </row>
    <row r="31">
      <c r="C31" s="15"/>
    </row>
    <row r="32">
      <c r="C32" s="15"/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13"/>
    <col customWidth="1" min="3" max="3" width="10.38"/>
    <col customWidth="1" min="4" max="4" width="11.25"/>
    <col customWidth="1" min="5" max="5" width="15.5"/>
    <col customWidth="1" min="6" max="6" width="6.25"/>
    <col customWidth="1" min="7" max="7" width="17.13"/>
  </cols>
  <sheetData>
    <row r="1">
      <c r="A1" s="12" t="s">
        <v>60</v>
      </c>
      <c r="B1" s="12" t="s">
        <v>61</v>
      </c>
      <c r="C1" s="12" t="s">
        <v>103</v>
      </c>
      <c r="D1" s="12" t="s">
        <v>104</v>
      </c>
      <c r="E1" s="12" t="s">
        <v>105</v>
      </c>
      <c r="F1" s="12" t="s">
        <v>106</v>
      </c>
      <c r="G1" s="12" t="s">
        <v>107</v>
      </c>
    </row>
    <row r="2">
      <c r="A2" s="12">
        <v>1.0</v>
      </c>
      <c r="C2" s="14">
        <f t="shared" ref="C2:E2" si="1">RANDBETWEEN(1,5)</f>
        <v>3</v>
      </c>
      <c r="D2" s="14">
        <f t="shared" si="1"/>
        <v>5</v>
      </c>
      <c r="E2" s="14">
        <f t="shared" si="1"/>
        <v>3</v>
      </c>
      <c r="F2" s="14">
        <f t="shared" ref="F2:F31" si="3">C2+D2+E2</f>
        <v>11</v>
      </c>
      <c r="G2" s="14" t="str">
        <f t="shared" ref="G2:G20" si="4">IF(AND(F2&gt;=10,C2=5,C2=4),"ДА","НЕТ")</f>
        <v>НЕТ</v>
      </c>
    </row>
    <row r="3">
      <c r="A3" s="12">
        <v>2.0</v>
      </c>
      <c r="C3" s="14">
        <f t="shared" ref="C3:E3" si="2">RANDBETWEEN(1,5)</f>
        <v>2</v>
      </c>
      <c r="D3" s="14">
        <f t="shared" si="2"/>
        <v>5</v>
      </c>
      <c r="E3" s="14">
        <f t="shared" si="2"/>
        <v>4</v>
      </c>
      <c r="F3" s="14">
        <f t="shared" si="3"/>
        <v>11</v>
      </c>
      <c r="G3" s="14" t="str">
        <f t="shared" si="4"/>
        <v>НЕТ</v>
      </c>
    </row>
    <row r="4">
      <c r="A4" s="12">
        <v>3.0</v>
      </c>
      <c r="C4" s="14">
        <f t="shared" ref="C4:E4" si="5">RANDBETWEEN(1,5)</f>
        <v>3</v>
      </c>
      <c r="D4" s="14">
        <f t="shared" si="5"/>
        <v>1</v>
      </c>
      <c r="E4" s="14">
        <f t="shared" si="5"/>
        <v>4</v>
      </c>
      <c r="F4" s="14">
        <f t="shared" si="3"/>
        <v>8</v>
      </c>
      <c r="G4" s="14" t="str">
        <f t="shared" si="4"/>
        <v>НЕТ</v>
      </c>
    </row>
    <row r="5">
      <c r="A5" s="12">
        <v>4.0</v>
      </c>
      <c r="C5" s="14">
        <f t="shared" ref="C5:E5" si="6">RANDBETWEEN(1,5)</f>
        <v>5</v>
      </c>
      <c r="D5" s="14">
        <f t="shared" si="6"/>
        <v>1</v>
      </c>
      <c r="E5" s="14">
        <f t="shared" si="6"/>
        <v>5</v>
      </c>
      <c r="F5" s="14">
        <f t="shared" si="3"/>
        <v>11</v>
      </c>
      <c r="G5" s="14" t="str">
        <f t="shared" si="4"/>
        <v>НЕТ</v>
      </c>
    </row>
    <row r="6">
      <c r="A6" s="12">
        <v>5.0</v>
      </c>
      <c r="C6" s="14">
        <f t="shared" ref="C6:E6" si="7">RANDBETWEEN(1,5)</f>
        <v>5</v>
      </c>
      <c r="D6" s="14">
        <f t="shared" si="7"/>
        <v>2</v>
      </c>
      <c r="E6" s="14">
        <f t="shared" si="7"/>
        <v>2</v>
      </c>
      <c r="F6" s="14">
        <f t="shared" si="3"/>
        <v>9</v>
      </c>
      <c r="G6" s="14" t="str">
        <f t="shared" si="4"/>
        <v>НЕТ</v>
      </c>
    </row>
    <row r="7">
      <c r="A7" s="12">
        <v>6.0</v>
      </c>
      <c r="C7" s="14">
        <f t="shared" ref="C7:E7" si="8">RANDBETWEEN(1,5)</f>
        <v>2</v>
      </c>
      <c r="D7" s="14">
        <f t="shared" si="8"/>
        <v>2</v>
      </c>
      <c r="E7" s="14">
        <f t="shared" si="8"/>
        <v>4</v>
      </c>
      <c r="F7" s="14">
        <f t="shared" si="3"/>
        <v>8</v>
      </c>
      <c r="G7" s="14" t="str">
        <f t="shared" si="4"/>
        <v>НЕТ</v>
      </c>
    </row>
    <row r="8">
      <c r="A8" s="12">
        <v>7.0</v>
      </c>
      <c r="C8" s="14">
        <f t="shared" ref="C8:E8" si="9">RANDBETWEEN(1,5)</f>
        <v>3</v>
      </c>
      <c r="D8" s="14">
        <f t="shared" si="9"/>
        <v>2</v>
      </c>
      <c r="E8" s="14">
        <f t="shared" si="9"/>
        <v>3</v>
      </c>
      <c r="F8" s="14">
        <f t="shared" si="3"/>
        <v>8</v>
      </c>
      <c r="G8" s="14" t="str">
        <f t="shared" si="4"/>
        <v>НЕТ</v>
      </c>
      <c r="H8" s="17"/>
    </row>
    <row r="9">
      <c r="A9" s="12">
        <v>8.0</v>
      </c>
      <c r="C9" s="14">
        <f t="shared" ref="C9:E9" si="10">RANDBETWEEN(1,5)</f>
        <v>5</v>
      </c>
      <c r="D9" s="14">
        <f t="shared" si="10"/>
        <v>1</v>
      </c>
      <c r="E9" s="14">
        <f t="shared" si="10"/>
        <v>4</v>
      </c>
      <c r="F9" s="14">
        <f t="shared" si="3"/>
        <v>10</v>
      </c>
      <c r="G9" s="14" t="str">
        <f t="shared" si="4"/>
        <v>НЕТ</v>
      </c>
    </row>
    <row r="10">
      <c r="A10" s="12">
        <v>9.0</v>
      </c>
      <c r="C10" s="14">
        <f t="shared" ref="C10:E10" si="11">RANDBETWEEN(1,5)</f>
        <v>3</v>
      </c>
      <c r="D10" s="14">
        <f t="shared" si="11"/>
        <v>4</v>
      </c>
      <c r="E10" s="14">
        <f t="shared" si="11"/>
        <v>4</v>
      </c>
      <c r="F10" s="14">
        <f t="shared" si="3"/>
        <v>11</v>
      </c>
      <c r="G10" s="14" t="str">
        <f t="shared" si="4"/>
        <v>НЕТ</v>
      </c>
    </row>
    <row r="11">
      <c r="A11" s="12">
        <v>10.0</v>
      </c>
      <c r="C11" s="14">
        <f t="shared" ref="C11:E11" si="12">RANDBETWEEN(1,5)</f>
        <v>4</v>
      </c>
      <c r="D11" s="14">
        <f t="shared" si="12"/>
        <v>4</v>
      </c>
      <c r="E11" s="14">
        <f t="shared" si="12"/>
        <v>4</v>
      </c>
      <c r="F11" s="14">
        <f t="shared" si="3"/>
        <v>12</v>
      </c>
      <c r="G11" s="14" t="str">
        <f t="shared" si="4"/>
        <v>НЕТ</v>
      </c>
    </row>
    <row r="12">
      <c r="A12" s="12">
        <v>11.0</v>
      </c>
      <c r="C12" s="14">
        <f t="shared" ref="C12:E12" si="13">RANDBETWEEN(1,5)</f>
        <v>3</v>
      </c>
      <c r="D12" s="14">
        <f t="shared" si="13"/>
        <v>2</v>
      </c>
      <c r="E12" s="14">
        <f t="shared" si="13"/>
        <v>2</v>
      </c>
      <c r="F12" s="14">
        <f t="shared" si="3"/>
        <v>7</v>
      </c>
      <c r="G12" s="14" t="str">
        <f t="shared" si="4"/>
        <v>НЕТ</v>
      </c>
    </row>
    <row r="13">
      <c r="A13" s="12">
        <v>12.0</v>
      </c>
      <c r="C13" s="14">
        <f t="shared" ref="C13:E13" si="14">RANDBETWEEN(1,5)</f>
        <v>3</v>
      </c>
      <c r="D13" s="14">
        <f t="shared" si="14"/>
        <v>4</v>
      </c>
      <c r="E13" s="14">
        <f t="shared" si="14"/>
        <v>4</v>
      </c>
      <c r="F13" s="14">
        <f t="shared" si="3"/>
        <v>11</v>
      </c>
      <c r="G13" s="14" t="str">
        <f t="shared" si="4"/>
        <v>НЕТ</v>
      </c>
    </row>
    <row r="14">
      <c r="A14" s="12">
        <v>13.0</v>
      </c>
      <c r="C14" s="14">
        <f t="shared" ref="C14:E14" si="15">RANDBETWEEN(1,5)</f>
        <v>2</v>
      </c>
      <c r="D14" s="14">
        <f t="shared" si="15"/>
        <v>5</v>
      </c>
      <c r="E14" s="14">
        <f t="shared" si="15"/>
        <v>1</v>
      </c>
      <c r="F14" s="14">
        <f t="shared" si="3"/>
        <v>8</v>
      </c>
      <c r="G14" s="14" t="str">
        <f t="shared" si="4"/>
        <v>НЕТ</v>
      </c>
    </row>
    <row r="15">
      <c r="A15" s="12">
        <v>14.0</v>
      </c>
      <c r="C15" s="14">
        <f t="shared" ref="C15:E15" si="16">RANDBETWEEN(1,5)</f>
        <v>1</v>
      </c>
      <c r="D15" s="14">
        <f t="shared" si="16"/>
        <v>2</v>
      </c>
      <c r="E15" s="14">
        <f t="shared" si="16"/>
        <v>3</v>
      </c>
      <c r="F15" s="14">
        <f t="shared" si="3"/>
        <v>6</v>
      </c>
      <c r="G15" s="14" t="str">
        <f t="shared" si="4"/>
        <v>НЕТ</v>
      </c>
    </row>
    <row r="16">
      <c r="A16" s="12">
        <v>15.0</v>
      </c>
      <c r="C16" s="14">
        <f t="shared" ref="C16:E16" si="17">RANDBETWEEN(1,5)</f>
        <v>5</v>
      </c>
      <c r="D16" s="14">
        <f t="shared" si="17"/>
        <v>2</v>
      </c>
      <c r="E16" s="14">
        <f t="shared" si="17"/>
        <v>3</v>
      </c>
      <c r="F16" s="14">
        <f t="shared" si="3"/>
        <v>10</v>
      </c>
      <c r="G16" s="14" t="str">
        <f t="shared" si="4"/>
        <v>НЕТ</v>
      </c>
      <c r="H16" s="12" t="s">
        <v>108</v>
      </c>
    </row>
    <row r="17">
      <c r="C17" s="14">
        <f t="shared" ref="C17:E17" si="18">RANDBETWEEN(1,5)</f>
        <v>2</v>
      </c>
      <c r="D17" s="14">
        <f t="shared" si="18"/>
        <v>5</v>
      </c>
      <c r="E17" s="14">
        <f t="shared" si="18"/>
        <v>5</v>
      </c>
      <c r="F17" s="14">
        <f t="shared" si="3"/>
        <v>12</v>
      </c>
      <c r="G17" s="14" t="str">
        <f t="shared" si="4"/>
        <v>НЕТ</v>
      </c>
    </row>
    <row r="18">
      <c r="C18" s="14">
        <f t="shared" ref="C18:E18" si="19">RANDBETWEEN(1,5)</f>
        <v>5</v>
      </c>
      <c r="D18" s="14">
        <f t="shared" si="19"/>
        <v>5</v>
      </c>
      <c r="E18" s="14">
        <f t="shared" si="19"/>
        <v>3</v>
      </c>
      <c r="F18" s="14">
        <f t="shared" si="3"/>
        <v>13</v>
      </c>
      <c r="G18" s="14" t="str">
        <f t="shared" si="4"/>
        <v>НЕТ</v>
      </c>
    </row>
    <row r="19">
      <c r="C19" s="14">
        <f t="shared" ref="C19:E19" si="20">RANDBETWEEN(1,5)</f>
        <v>1</v>
      </c>
      <c r="D19" s="14">
        <f t="shared" si="20"/>
        <v>3</v>
      </c>
      <c r="E19" s="14">
        <f t="shared" si="20"/>
        <v>5</v>
      </c>
      <c r="F19" s="14">
        <f t="shared" si="3"/>
        <v>9</v>
      </c>
      <c r="G19" s="14" t="str">
        <f t="shared" si="4"/>
        <v>НЕТ</v>
      </c>
    </row>
    <row r="20">
      <c r="C20" s="12">
        <v>5.0</v>
      </c>
      <c r="D20" s="14">
        <f t="shared" ref="D20:E20" si="21">RANDBETWEEN(1,5)</f>
        <v>1</v>
      </c>
      <c r="E20" s="14">
        <f t="shared" si="21"/>
        <v>1</v>
      </c>
      <c r="F20" s="14">
        <f t="shared" si="3"/>
        <v>7</v>
      </c>
      <c r="G20" s="14" t="str">
        <f t="shared" si="4"/>
        <v>НЕТ</v>
      </c>
    </row>
    <row r="21">
      <c r="C21" s="14">
        <f t="shared" ref="C21:E21" si="22">RANDBETWEEN(1,5)</f>
        <v>3</v>
      </c>
      <c r="D21" s="14">
        <f t="shared" si="22"/>
        <v>3</v>
      </c>
      <c r="E21" s="14">
        <f t="shared" si="22"/>
        <v>4</v>
      </c>
      <c r="F21" s="14">
        <f t="shared" si="3"/>
        <v>10</v>
      </c>
      <c r="G21" s="14" t="str">
        <f>IF(AND(F21&gt;10,C21=5,C21=4),"ДА","НЕТ")</f>
        <v>НЕТ</v>
      </c>
    </row>
    <row r="22">
      <c r="C22" s="14">
        <f t="shared" ref="C22:E22" si="23">RANDBETWEEN(1,5)</f>
        <v>1</v>
      </c>
      <c r="D22" s="14">
        <f t="shared" si="23"/>
        <v>4</v>
      </c>
      <c r="E22" s="14">
        <f t="shared" si="23"/>
        <v>4</v>
      </c>
      <c r="F22" s="14">
        <f t="shared" si="3"/>
        <v>9</v>
      </c>
      <c r="G22" s="14" t="str">
        <f t="shared" ref="G22:G30" si="25">IF(AND(F22&gt;=10,C22=5,C22=4),"ДА","НЕТ")</f>
        <v>НЕТ</v>
      </c>
    </row>
    <row r="23">
      <c r="C23" s="14">
        <f t="shared" ref="C23:E23" si="24">RANDBETWEEN(1,5)</f>
        <v>2</v>
      </c>
      <c r="D23" s="14">
        <f t="shared" si="24"/>
        <v>1</v>
      </c>
      <c r="E23" s="14">
        <f t="shared" si="24"/>
        <v>1</v>
      </c>
      <c r="F23" s="14">
        <f t="shared" si="3"/>
        <v>4</v>
      </c>
      <c r="G23" s="14" t="str">
        <f t="shared" si="25"/>
        <v>НЕТ</v>
      </c>
    </row>
    <row r="24">
      <c r="C24" s="14">
        <f t="shared" ref="C24:E24" si="26">RANDBETWEEN(1,5)</f>
        <v>5</v>
      </c>
      <c r="D24" s="14">
        <f t="shared" si="26"/>
        <v>3</v>
      </c>
      <c r="E24" s="14">
        <f t="shared" si="26"/>
        <v>1</v>
      </c>
      <c r="F24" s="14">
        <f t="shared" si="3"/>
        <v>9</v>
      </c>
      <c r="G24" s="14" t="str">
        <f t="shared" si="25"/>
        <v>НЕТ</v>
      </c>
    </row>
    <row r="25">
      <c r="C25" s="14">
        <f t="shared" ref="C25:E25" si="27">RANDBETWEEN(1,5)</f>
        <v>5</v>
      </c>
      <c r="D25" s="14">
        <f t="shared" si="27"/>
        <v>5</v>
      </c>
      <c r="E25" s="14">
        <f t="shared" si="27"/>
        <v>4</v>
      </c>
      <c r="F25" s="14">
        <f t="shared" si="3"/>
        <v>14</v>
      </c>
      <c r="G25" s="14" t="str">
        <f t="shared" si="25"/>
        <v>НЕТ</v>
      </c>
    </row>
    <row r="26">
      <c r="C26" s="14">
        <f t="shared" ref="C26:E26" si="28">RANDBETWEEN(1,5)</f>
        <v>5</v>
      </c>
      <c r="D26" s="14">
        <f t="shared" si="28"/>
        <v>4</v>
      </c>
      <c r="E26" s="14">
        <f t="shared" si="28"/>
        <v>3</v>
      </c>
      <c r="F26" s="14">
        <f t="shared" si="3"/>
        <v>12</v>
      </c>
      <c r="G26" s="14" t="str">
        <f t="shared" si="25"/>
        <v>НЕТ</v>
      </c>
    </row>
    <row r="27">
      <c r="C27" s="14">
        <f t="shared" ref="C27:E27" si="29">RANDBETWEEN(1,5)</f>
        <v>4</v>
      </c>
      <c r="D27" s="14">
        <f t="shared" si="29"/>
        <v>1</v>
      </c>
      <c r="E27" s="14">
        <f t="shared" si="29"/>
        <v>5</v>
      </c>
      <c r="F27" s="14">
        <f t="shared" si="3"/>
        <v>10</v>
      </c>
      <c r="G27" s="14" t="str">
        <f t="shared" si="25"/>
        <v>НЕТ</v>
      </c>
    </row>
    <row r="28">
      <c r="C28" s="14">
        <f t="shared" ref="C28:E28" si="30">RANDBETWEEN(1,5)</f>
        <v>5</v>
      </c>
      <c r="D28" s="14">
        <f t="shared" si="30"/>
        <v>3</v>
      </c>
      <c r="E28" s="14">
        <f t="shared" si="30"/>
        <v>2</v>
      </c>
      <c r="F28" s="14">
        <f t="shared" si="3"/>
        <v>10</v>
      </c>
      <c r="G28" s="14" t="str">
        <f t="shared" si="25"/>
        <v>НЕТ</v>
      </c>
    </row>
    <row r="29">
      <c r="C29" s="14">
        <f t="shared" ref="C29:E29" si="31">RANDBETWEEN(1,5)</f>
        <v>1</v>
      </c>
      <c r="D29" s="14">
        <f t="shared" si="31"/>
        <v>3</v>
      </c>
      <c r="E29" s="14">
        <f t="shared" si="31"/>
        <v>3</v>
      </c>
      <c r="F29" s="14">
        <f t="shared" si="3"/>
        <v>7</v>
      </c>
      <c r="G29" s="14" t="str">
        <f t="shared" si="25"/>
        <v>НЕТ</v>
      </c>
    </row>
    <row r="30">
      <c r="C30" s="14">
        <f t="shared" ref="C30:E30" si="32">RANDBETWEEN(1,5)</f>
        <v>2</v>
      </c>
      <c r="D30" s="14">
        <f t="shared" si="32"/>
        <v>3</v>
      </c>
      <c r="E30" s="14">
        <f t="shared" si="32"/>
        <v>4</v>
      </c>
      <c r="F30" s="14">
        <f t="shared" si="3"/>
        <v>9</v>
      </c>
      <c r="G30" s="14" t="str">
        <f t="shared" si="25"/>
        <v>НЕТ</v>
      </c>
    </row>
    <row r="31">
      <c r="C31" s="14">
        <f t="shared" ref="C31:E31" si="33">RANDBETWEEN(1,5)</f>
        <v>3</v>
      </c>
      <c r="D31" s="14">
        <f t="shared" si="33"/>
        <v>3</v>
      </c>
      <c r="E31" s="14">
        <f t="shared" si="33"/>
        <v>1</v>
      </c>
      <c r="F31" s="14">
        <f t="shared" si="3"/>
        <v>7</v>
      </c>
      <c r="G31" s="14" t="str">
        <f>IF(AND(F31&gt;=10,C31=5,C31=4),"нет","НЕТ")</f>
        <v>НЕТ</v>
      </c>
    </row>
    <row r="33">
      <c r="A33" s="12" t="s">
        <v>109</v>
      </c>
      <c r="C33" s="12">
        <v>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75"/>
    <col customWidth="1" min="3" max="3" width="31.5"/>
    <col customWidth="1" min="4" max="4" width="16.88"/>
  </cols>
  <sheetData>
    <row r="1">
      <c r="A1" s="12" t="s">
        <v>110</v>
      </c>
      <c r="B1" s="18" t="s">
        <v>111</v>
      </c>
      <c r="C1" s="18" t="s">
        <v>112</v>
      </c>
      <c r="D1" s="18" t="s">
        <v>113</v>
      </c>
    </row>
    <row r="2">
      <c r="A2" s="12">
        <v>1.0</v>
      </c>
      <c r="B2" s="15">
        <f t="shared" ref="B2:B17" si="1">RANDBETWEEN(3000,6000)</f>
        <v>4715</v>
      </c>
      <c r="C2" s="12" t="s">
        <v>114</v>
      </c>
      <c r="D2" s="15">
        <f t="shared" ref="D2:D17" si="2">IF(AND(B2&gt;2000,C2="ДА"),B2-B2*0.03,"-")</f>
        <v>4573.55</v>
      </c>
    </row>
    <row r="3">
      <c r="A3" s="12">
        <v>2.0</v>
      </c>
      <c r="B3" s="15">
        <f t="shared" si="1"/>
        <v>3808</v>
      </c>
      <c r="C3" s="12" t="s">
        <v>115</v>
      </c>
      <c r="D3" s="14" t="str">
        <f t="shared" si="2"/>
        <v>-</v>
      </c>
    </row>
    <row r="4">
      <c r="A4" s="12">
        <v>3.0</v>
      </c>
      <c r="B4" s="15">
        <f t="shared" si="1"/>
        <v>4942</v>
      </c>
      <c r="C4" s="12" t="s">
        <v>115</v>
      </c>
      <c r="D4" s="14" t="str">
        <f t="shared" si="2"/>
        <v>-</v>
      </c>
    </row>
    <row r="5">
      <c r="A5" s="12">
        <v>4.0</v>
      </c>
      <c r="B5" s="15">
        <f t="shared" si="1"/>
        <v>5503</v>
      </c>
      <c r="C5" s="12" t="s">
        <v>115</v>
      </c>
      <c r="D5" s="14" t="str">
        <f t="shared" si="2"/>
        <v>-</v>
      </c>
    </row>
    <row r="6">
      <c r="A6" s="12">
        <v>5.0</v>
      </c>
      <c r="B6" s="15">
        <f t="shared" si="1"/>
        <v>4940</v>
      </c>
      <c r="C6" s="12" t="s">
        <v>114</v>
      </c>
      <c r="D6" s="15">
        <f t="shared" si="2"/>
        <v>4791.8</v>
      </c>
    </row>
    <row r="7">
      <c r="A7" s="12">
        <v>6.0</v>
      </c>
      <c r="B7" s="15">
        <f t="shared" si="1"/>
        <v>4254</v>
      </c>
      <c r="C7" s="12" t="s">
        <v>114</v>
      </c>
      <c r="D7" s="15">
        <f t="shared" si="2"/>
        <v>4126.38</v>
      </c>
    </row>
    <row r="8">
      <c r="A8" s="12">
        <v>7.0</v>
      </c>
      <c r="B8" s="15">
        <f t="shared" si="1"/>
        <v>4607</v>
      </c>
      <c r="C8" s="12" t="s">
        <v>115</v>
      </c>
      <c r="D8" s="14" t="str">
        <f t="shared" si="2"/>
        <v>-</v>
      </c>
    </row>
    <row r="9">
      <c r="A9" s="12">
        <v>8.0</v>
      </c>
      <c r="B9" s="15">
        <f t="shared" si="1"/>
        <v>4922</v>
      </c>
      <c r="C9" s="12" t="s">
        <v>114</v>
      </c>
      <c r="D9" s="15">
        <f t="shared" si="2"/>
        <v>4774.34</v>
      </c>
    </row>
    <row r="10">
      <c r="A10" s="12">
        <v>9.0</v>
      </c>
      <c r="B10" s="15">
        <f t="shared" si="1"/>
        <v>4708</v>
      </c>
      <c r="C10" s="12" t="s">
        <v>115</v>
      </c>
      <c r="D10" s="14" t="str">
        <f t="shared" si="2"/>
        <v>-</v>
      </c>
    </row>
    <row r="11">
      <c r="A11" s="12">
        <v>10.0</v>
      </c>
      <c r="B11" s="15">
        <f t="shared" si="1"/>
        <v>4906</v>
      </c>
      <c r="C11" s="12" t="s">
        <v>114</v>
      </c>
      <c r="D11" s="15">
        <f t="shared" si="2"/>
        <v>4758.82</v>
      </c>
    </row>
    <row r="12">
      <c r="A12" s="12">
        <v>11.0</v>
      </c>
      <c r="B12" s="15">
        <f t="shared" si="1"/>
        <v>3124</v>
      </c>
      <c r="C12" s="12" t="s">
        <v>115</v>
      </c>
      <c r="D12" s="14" t="str">
        <f t="shared" si="2"/>
        <v>-</v>
      </c>
    </row>
    <row r="13">
      <c r="A13" s="12">
        <v>12.0</v>
      </c>
      <c r="B13" s="15">
        <f t="shared" si="1"/>
        <v>5952</v>
      </c>
      <c r="C13" s="12" t="s">
        <v>115</v>
      </c>
      <c r="D13" s="14" t="str">
        <f t="shared" si="2"/>
        <v>-</v>
      </c>
    </row>
    <row r="14">
      <c r="A14" s="12">
        <v>13.0</v>
      </c>
      <c r="B14" s="15">
        <f t="shared" si="1"/>
        <v>5422</v>
      </c>
      <c r="C14" s="12" t="s">
        <v>116</v>
      </c>
      <c r="D14" s="14" t="str">
        <f t="shared" si="2"/>
        <v>-</v>
      </c>
    </row>
    <row r="15">
      <c r="A15" s="12">
        <v>14.0</v>
      </c>
      <c r="B15" s="15">
        <f t="shared" si="1"/>
        <v>5205</v>
      </c>
      <c r="C15" s="12" t="s">
        <v>116</v>
      </c>
      <c r="D15" s="14" t="str">
        <f t="shared" si="2"/>
        <v>-</v>
      </c>
    </row>
    <row r="16">
      <c r="A16" s="12">
        <v>15.0</v>
      </c>
      <c r="B16" s="15">
        <f t="shared" si="1"/>
        <v>4272</v>
      </c>
      <c r="C16" s="12" t="s">
        <v>114</v>
      </c>
      <c r="D16" s="15">
        <f t="shared" si="2"/>
        <v>4143.84</v>
      </c>
    </row>
    <row r="17">
      <c r="A17" s="12">
        <v>16.0</v>
      </c>
      <c r="B17" s="15">
        <f t="shared" si="1"/>
        <v>4726</v>
      </c>
      <c r="C17" s="12" t="s">
        <v>114</v>
      </c>
      <c r="D17" s="15">
        <f t="shared" si="2"/>
        <v>4584.22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0.5"/>
    <col customWidth="1" min="3" max="3" width="14.88"/>
    <col customWidth="1" min="4" max="4" width="10.88"/>
    <col customWidth="1" min="5" max="5" width="14.75"/>
    <col customWidth="1" min="6" max="6" width="22.75"/>
    <col customWidth="1" min="7" max="7" width="11.75"/>
    <col customWidth="1" min="8" max="8" width="10.5"/>
  </cols>
  <sheetData>
    <row r="1">
      <c r="A1" s="12" t="s">
        <v>60</v>
      </c>
      <c r="B1" s="12" t="s">
        <v>61</v>
      </c>
      <c r="C1" s="19" t="s">
        <v>117</v>
      </c>
      <c r="D1" s="12" t="s">
        <v>118</v>
      </c>
      <c r="E1" s="12" t="s">
        <v>119</v>
      </c>
      <c r="F1" s="20" t="s">
        <v>120</v>
      </c>
      <c r="G1" s="21" t="s">
        <v>121</v>
      </c>
      <c r="H1" s="12" t="s">
        <v>122</v>
      </c>
      <c r="I1" s="12"/>
      <c r="J1" s="12"/>
      <c r="K1" s="12"/>
      <c r="L1" s="12"/>
    </row>
    <row r="2">
      <c r="A2" s="12">
        <v>1.0</v>
      </c>
      <c r="B2" s="12" t="s">
        <v>123</v>
      </c>
      <c r="C2" s="22">
        <v>45060.0</v>
      </c>
      <c r="D2" s="12" t="s">
        <v>124</v>
      </c>
      <c r="E2" s="12" t="s">
        <v>125</v>
      </c>
      <c r="F2" s="20">
        <v>0.7708333333333334</v>
      </c>
      <c r="G2" s="21">
        <v>0.5208333333333334</v>
      </c>
      <c r="H2" s="14">
        <f t="shared" ref="H2:H26" si="1">IF(OR(OR(D2="Суббота",D2="Воскресенье"),E2="да"),G2*D29,0)</f>
        <v>0.3125</v>
      </c>
    </row>
    <row r="3">
      <c r="A3" s="12">
        <v>2.0</v>
      </c>
      <c r="B3" s="12" t="s">
        <v>77</v>
      </c>
      <c r="C3" s="22">
        <v>45198.0</v>
      </c>
      <c r="D3" s="12" t="s">
        <v>126</v>
      </c>
      <c r="E3" s="12" t="s">
        <v>127</v>
      </c>
      <c r="F3" s="20">
        <v>0.8229166666666666</v>
      </c>
      <c r="G3" s="21">
        <v>0.07305555555555555</v>
      </c>
      <c r="H3" s="14">
        <f t="shared" si="1"/>
        <v>0</v>
      </c>
    </row>
    <row r="4">
      <c r="A4" s="12">
        <v>3.0</v>
      </c>
      <c r="B4" s="12" t="s">
        <v>128</v>
      </c>
      <c r="C4" s="22">
        <v>44992.0</v>
      </c>
      <c r="D4" s="12" t="s">
        <v>129</v>
      </c>
      <c r="E4" s="12" t="s">
        <v>127</v>
      </c>
      <c r="F4" s="20">
        <v>0.84375</v>
      </c>
      <c r="G4" s="21">
        <v>0.09398148148148149</v>
      </c>
      <c r="H4" s="14">
        <f t="shared" si="1"/>
        <v>0</v>
      </c>
    </row>
    <row r="5">
      <c r="A5" s="12">
        <v>4.0</v>
      </c>
      <c r="B5" s="12" t="s">
        <v>130</v>
      </c>
      <c r="C5" s="23">
        <v>45248.0</v>
      </c>
      <c r="D5" s="12" t="s">
        <v>131</v>
      </c>
      <c r="E5" s="12" t="s">
        <v>125</v>
      </c>
      <c r="F5" s="20">
        <v>0.8888888888888888</v>
      </c>
      <c r="G5" s="21">
        <v>0.13935185185185187</v>
      </c>
      <c r="H5" s="24">
        <f t="shared" si="1"/>
        <v>0</v>
      </c>
    </row>
    <row r="6">
      <c r="A6" s="12">
        <v>5.0</v>
      </c>
      <c r="B6" s="12" t="s">
        <v>132</v>
      </c>
      <c r="C6" s="22">
        <v>45143.0</v>
      </c>
      <c r="D6" s="12" t="s">
        <v>133</v>
      </c>
      <c r="E6" s="12" t="s">
        <v>127</v>
      </c>
      <c r="F6" s="20">
        <v>0.9166666666666666</v>
      </c>
      <c r="G6" s="21">
        <v>0.17586805555555557</v>
      </c>
      <c r="H6" s="14">
        <f t="shared" si="1"/>
        <v>0</v>
      </c>
    </row>
    <row r="7">
      <c r="A7" s="12">
        <v>6.0</v>
      </c>
      <c r="B7" s="12" t="s">
        <v>134</v>
      </c>
      <c r="C7" s="22">
        <v>44979.0</v>
      </c>
      <c r="D7" s="12" t="s">
        <v>135</v>
      </c>
      <c r="E7" s="12" t="s">
        <v>125</v>
      </c>
      <c r="F7" s="20">
        <v>0.7986111111111112</v>
      </c>
      <c r="G7" s="21">
        <v>0.04871527777777778</v>
      </c>
      <c r="H7" s="24">
        <f t="shared" si="1"/>
        <v>0</v>
      </c>
    </row>
    <row r="8">
      <c r="A8" s="12">
        <v>7.0</v>
      </c>
      <c r="B8" s="12" t="s">
        <v>136</v>
      </c>
      <c r="C8" s="22">
        <v>45118.0</v>
      </c>
      <c r="D8" s="12" t="s">
        <v>137</v>
      </c>
      <c r="E8" s="12" t="s">
        <v>125</v>
      </c>
      <c r="F8" s="20">
        <v>0.9027777777777778</v>
      </c>
      <c r="G8" s="21">
        <v>0.15296296296296297</v>
      </c>
      <c r="H8" s="24">
        <f t="shared" si="1"/>
        <v>0</v>
      </c>
    </row>
    <row r="9">
      <c r="A9" s="12">
        <v>8.0</v>
      </c>
      <c r="B9" s="12" t="s">
        <v>74</v>
      </c>
      <c r="C9" s="23">
        <v>45285.0</v>
      </c>
      <c r="D9" s="12" t="s">
        <v>133</v>
      </c>
      <c r="E9" s="12" t="s">
        <v>125</v>
      </c>
      <c r="F9" s="20">
        <v>0.8368055555555556</v>
      </c>
      <c r="G9" s="21">
        <v>0.08724537037037038</v>
      </c>
      <c r="H9" s="24">
        <f t="shared" si="1"/>
        <v>0</v>
      </c>
    </row>
    <row r="10">
      <c r="A10" s="12">
        <v>9.0</v>
      </c>
      <c r="B10" s="12" t="s">
        <v>138</v>
      </c>
      <c r="C10" s="22">
        <v>45078.0</v>
      </c>
      <c r="D10" s="12" t="s">
        <v>131</v>
      </c>
      <c r="E10" s="12" t="s">
        <v>127</v>
      </c>
      <c r="F10" s="20">
        <v>0.7638888888888888</v>
      </c>
      <c r="G10" s="21">
        <v>0.5141550925925926</v>
      </c>
      <c r="H10" s="14">
        <f t="shared" si="1"/>
        <v>0</v>
      </c>
    </row>
    <row r="11">
      <c r="A11" s="12">
        <v>10.0</v>
      </c>
      <c r="B11" s="12" t="s">
        <v>70</v>
      </c>
      <c r="C11" s="22">
        <v>45208.0</v>
      </c>
      <c r="D11" s="12" t="s">
        <v>124</v>
      </c>
      <c r="E11" s="12" t="s">
        <v>127</v>
      </c>
      <c r="F11" s="20">
        <v>0.8680555555555556</v>
      </c>
      <c r="G11" s="21">
        <v>0.11805555555555555</v>
      </c>
      <c r="H11" s="14">
        <f t="shared" si="1"/>
        <v>0</v>
      </c>
    </row>
    <row r="12">
      <c r="A12" s="12">
        <v>11.0</v>
      </c>
      <c r="B12" s="12" t="s">
        <v>139</v>
      </c>
      <c r="C12" s="22">
        <v>45012.0</v>
      </c>
      <c r="D12" s="12" t="s">
        <v>126</v>
      </c>
      <c r="E12" s="12" t="s">
        <v>125</v>
      </c>
      <c r="F12" s="20">
        <v>0.8854166666666666</v>
      </c>
      <c r="G12" s="21">
        <v>0.13541666666666666</v>
      </c>
      <c r="H12" s="24">
        <f t="shared" si="1"/>
        <v>0</v>
      </c>
    </row>
    <row r="13">
      <c r="A13" s="12">
        <v>12.0</v>
      </c>
      <c r="B13" s="12" t="s">
        <v>140</v>
      </c>
      <c r="C13" s="22">
        <v>45177.0</v>
      </c>
      <c r="D13" s="12" t="s">
        <v>129</v>
      </c>
      <c r="E13" s="12" t="s">
        <v>125</v>
      </c>
      <c r="F13" s="20">
        <v>0.8298611111111112</v>
      </c>
      <c r="G13" s="21">
        <v>0.0798611111111111</v>
      </c>
      <c r="H13" s="24">
        <f t="shared" si="1"/>
        <v>0</v>
      </c>
    </row>
    <row r="14">
      <c r="A14" s="12">
        <v>13.0</v>
      </c>
      <c r="B14" s="12" t="s">
        <v>76</v>
      </c>
      <c r="C14" s="22">
        <v>45031.0</v>
      </c>
      <c r="D14" s="12" t="s">
        <v>137</v>
      </c>
      <c r="E14" s="12" t="s">
        <v>127</v>
      </c>
      <c r="F14" s="20">
        <v>0.9166666666666666</v>
      </c>
      <c r="G14" s="21">
        <v>0.16666666666666666</v>
      </c>
      <c r="H14" s="24">
        <f t="shared" si="1"/>
        <v>0</v>
      </c>
    </row>
    <row r="15">
      <c r="A15" s="12">
        <v>14.0</v>
      </c>
      <c r="B15" s="12" t="s">
        <v>141</v>
      </c>
      <c r="C15" s="23">
        <v>45260.0</v>
      </c>
      <c r="D15" s="12" t="s">
        <v>135</v>
      </c>
      <c r="E15" s="12" t="s">
        <v>127</v>
      </c>
      <c r="F15" s="20">
        <v>0.8506944444444444</v>
      </c>
      <c r="G15" s="21">
        <v>0.10069444444444445</v>
      </c>
      <c r="H15" s="24">
        <f t="shared" si="1"/>
        <v>0</v>
      </c>
    </row>
    <row r="16">
      <c r="A16" s="12">
        <v>15.0</v>
      </c>
      <c r="B16" s="12" t="s">
        <v>142</v>
      </c>
      <c r="C16" s="22">
        <v>45150.0</v>
      </c>
      <c r="D16" s="12" t="s">
        <v>131</v>
      </c>
      <c r="E16" s="12" t="s">
        <v>125</v>
      </c>
      <c r="F16" s="20">
        <v>0.7847222222222222</v>
      </c>
      <c r="G16" s="21">
        <v>0.5347222222222222</v>
      </c>
      <c r="H16" s="24">
        <f t="shared" si="1"/>
        <v>0</v>
      </c>
    </row>
    <row r="17">
      <c r="A17" s="12">
        <v>16.0</v>
      </c>
      <c r="B17" s="12" t="s">
        <v>143</v>
      </c>
      <c r="C17" s="22">
        <v>45065.0</v>
      </c>
      <c r="D17" s="12" t="s">
        <v>126</v>
      </c>
      <c r="E17" s="12" t="s">
        <v>125</v>
      </c>
      <c r="F17" s="20">
        <v>0.8958333333333334</v>
      </c>
      <c r="G17" s="21">
        <v>0.14583333333333334</v>
      </c>
      <c r="H17" s="24">
        <f t="shared" si="1"/>
        <v>0</v>
      </c>
    </row>
    <row r="18">
      <c r="A18" s="12">
        <v>17.0</v>
      </c>
      <c r="B18" s="12" t="s">
        <v>144</v>
      </c>
      <c r="C18" s="22">
        <v>44929.0</v>
      </c>
      <c r="D18" s="12" t="s">
        <v>133</v>
      </c>
      <c r="E18" s="12" t="s">
        <v>127</v>
      </c>
      <c r="F18" s="20">
        <v>0.8090277777777778</v>
      </c>
      <c r="G18" s="21">
        <v>0.059027777777777776</v>
      </c>
      <c r="H18" s="14">
        <f t="shared" si="1"/>
        <v>0</v>
      </c>
    </row>
    <row r="19">
      <c r="A19" s="12">
        <v>18.0</v>
      </c>
      <c r="B19" s="12" t="s">
        <v>145</v>
      </c>
      <c r="C19" s="22">
        <v>45097.0</v>
      </c>
      <c r="D19" s="12" t="s">
        <v>129</v>
      </c>
      <c r="E19" s="12" t="s">
        <v>125</v>
      </c>
      <c r="F19" s="20">
        <v>0.8611111111111112</v>
      </c>
      <c r="G19" s="21">
        <v>0.1111111111111111</v>
      </c>
      <c r="H19" s="24">
        <f t="shared" si="1"/>
        <v>0</v>
      </c>
    </row>
    <row r="20">
      <c r="A20" s="12">
        <v>19.0</v>
      </c>
      <c r="B20" s="12" t="s">
        <v>146</v>
      </c>
      <c r="C20" s="23">
        <v>45273.0</v>
      </c>
      <c r="D20" s="12" t="s">
        <v>124</v>
      </c>
      <c r="E20" s="12" t="s">
        <v>125</v>
      </c>
      <c r="F20" s="20">
        <v>0.9166666666666666</v>
      </c>
      <c r="G20" s="21">
        <v>0.16666666666666666</v>
      </c>
      <c r="H20" s="24">
        <f t="shared" si="1"/>
        <v>0</v>
      </c>
    </row>
    <row r="21">
      <c r="A21" s="12">
        <v>20.0</v>
      </c>
      <c r="B21" s="12" t="s">
        <v>147</v>
      </c>
      <c r="C21" s="22">
        <v>45175.0</v>
      </c>
      <c r="D21" s="12" t="s">
        <v>135</v>
      </c>
      <c r="E21" s="12" t="s">
        <v>127</v>
      </c>
      <c r="F21" s="20">
        <v>0.7604166666666666</v>
      </c>
      <c r="G21" s="21">
        <v>0.5104166666666666</v>
      </c>
      <c r="H21" s="24">
        <f t="shared" si="1"/>
        <v>0</v>
      </c>
    </row>
    <row r="22">
      <c r="A22" s="12">
        <v>21.0</v>
      </c>
      <c r="B22" s="12" t="s">
        <v>148</v>
      </c>
      <c r="C22" s="22">
        <v>44981.0</v>
      </c>
      <c r="D22" s="12" t="s">
        <v>137</v>
      </c>
      <c r="E22" s="12" t="s">
        <v>127</v>
      </c>
      <c r="F22" s="20">
        <v>0.8819444444444444</v>
      </c>
      <c r="G22" s="21">
        <v>0.13194444444444445</v>
      </c>
      <c r="H22" s="24">
        <f t="shared" si="1"/>
        <v>0</v>
      </c>
    </row>
    <row r="23">
      <c r="A23" s="12">
        <v>22.0</v>
      </c>
      <c r="B23" s="12" t="s">
        <v>149</v>
      </c>
      <c r="C23" s="22">
        <v>45123.0</v>
      </c>
      <c r="D23" s="12" t="s">
        <v>131</v>
      </c>
      <c r="E23" s="12" t="s">
        <v>127</v>
      </c>
      <c r="F23" s="20">
        <v>0.8576388888888888</v>
      </c>
      <c r="G23" s="21">
        <v>0.1076388888888889</v>
      </c>
      <c r="H23" s="14">
        <f t="shared" si="1"/>
        <v>0</v>
      </c>
    </row>
    <row r="24">
      <c r="A24" s="12">
        <v>23.0</v>
      </c>
      <c r="B24" s="12" t="s">
        <v>150</v>
      </c>
      <c r="C24" s="22">
        <v>45013.0</v>
      </c>
      <c r="D24" s="12" t="s">
        <v>129</v>
      </c>
      <c r="E24" s="12" t="s">
        <v>125</v>
      </c>
      <c r="F24" s="20">
        <v>0.8125</v>
      </c>
      <c r="G24" s="21">
        <v>0.0625</v>
      </c>
      <c r="H24" s="24">
        <f t="shared" si="1"/>
        <v>0</v>
      </c>
    </row>
    <row r="25">
      <c r="A25" s="12">
        <v>24.0</v>
      </c>
      <c r="B25" s="12" t="s">
        <v>151</v>
      </c>
      <c r="C25" s="22">
        <v>45239.0</v>
      </c>
      <c r="D25" s="12" t="s">
        <v>126</v>
      </c>
      <c r="E25" s="12" t="s">
        <v>125</v>
      </c>
      <c r="F25" s="20">
        <v>0.9166666666666666</v>
      </c>
      <c r="G25" s="21">
        <v>0.16666666666666666</v>
      </c>
      <c r="H25" s="24">
        <f t="shared" si="1"/>
        <v>0</v>
      </c>
    </row>
    <row r="26">
      <c r="A26" s="12">
        <v>25.0</v>
      </c>
      <c r="B26" s="12" t="s">
        <v>152</v>
      </c>
      <c r="C26" s="22">
        <v>45018.0</v>
      </c>
      <c r="D26" s="12" t="s">
        <v>124</v>
      </c>
      <c r="E26" s="12" t="s">
        <v>127</v>
      </c>
      <c r="F26" s="20">
        <v>0.8715277777777778</v>
      </c>
      <c r="G26" s="21">
        <v>0.12152777777777778</v>
      </c>
      <c r="H26" s="14">
        <f t="shared" si="1"/>
        <v>0</v>
      </c>
    </row>
    <row r="27">
      <c r="F27" s="25"/>
      <c r="G27" s="24"/>
    </row>
    <row r="28">
      <c r="F28" s="25"/>
      <c r="G28" s="24"/>
    </row>
    <row r="29">
      <c r="C29" s="12" t="s">
        <v>153</v>
      </c>
      <c r="D29" s="26">
        <v>0.6</v>
      </c>
      <c r="F29" s="25"/>
      <c r="G29" s="24"/>
    </row>
    <row r="30">
      <c r="C30" s="27"/>
      <c r="F30" s="25"/>
      <c r="G30" s="24"/>
    </row>
    <row r="31">
      <c r="C31" s="27"/>
      <c r="F31" s="25"/>
      <c r="G31" s="24"/>
    </row>
    <row r="32">
      <c r="C32" s="27"/>
      <c r="F32" s="25"/>
      <c r="G32" s="24"/>
    </row>
    <row r="33">
      <c r="C33" s="27"/>
      <c r="F33" s="25"/>
      <c r="G33" s="24"/>
    </row>
    <row r="34">
      <c r="C34" s="27"/>
      <c r="F34" s="25"/>
      <c r="G34" s="24"/>
    </row>
    <row r="35">
      <c r="C35" s="27"/>
      <c r="F35" s="25"/>
      <c r="G35" s="24"/>
    </row>
    <row r="36">
      <c r="C36" s="27"/>
      <c r="F36" s="25"/>
      <c r="G36" s="24"/>
    </row>
    <row r="37">
      <c r="C37" s="27"/>
      <c r="F37" s="25"/>
      <c r="G37" s="24"/>
    </row>
    <row r="38">
      <c r="C38" s="27"/>
      <c r="F38" s="25"/>
      <c r="G38" s="24"/>
    </row>
    <row r="39">
      <c r="C39" s="27"/>
      <c r="F39" s="25"/>
      <c r="G39" s="24"/>
    </row>
    <row r="40">
      <c r="C40" s="27"/>
      <c r="F40" s="25"/>
      <c r="G40" s="24"/>
    </row>
    <row r="41">
      <c r="C41" s="27"/>
      <c r="F41" s="25"/>
      <c r="G41" s="24"/>
    </row>
    <row r="42">
      <c r="C42" s="27"/>
      <c r="F42" s="25"/>
      <c r="G42" s="24"/>
    </row>
    <row r="43">
      <c r="C43" s="27"/>
      <c r="F43" s="25"/>
      <c r="G43" s="24"/>
    </row>
    <row r="44">
      <c r="C44" s="27"/>
      <c r="F44" s="25"/>
      <c r="G44" s="24"/>
    </row>
    <row r="45">
      <c r="C45" s="27"/>
      <c r="F45" s="25"/>
      <c r="G45" s="24"/>
    </row>
    <row r="46">
      <c r="C46" s="27"/>
      <c r="F46" s="25"/>
      <c r="G46" s="24"/>
    </row>
    <row r="47">
      <c r="C47" s="27"/>
      <c r="F47" s="25"/>
      <c r="G47" s="24"/>
    </row>
    <row r="48">
      <c r="C48" s="27"/>
      <c r="F48" s="25"/>
      <c r="G48" s="24"/>
    </row>
    <row r="49">
      <c r="C49" s="27"/>
      <c r="F49" s="25"/>
      <c r="G49" s="24"/>
    </row>
    <row r="50">
      <c r="C50" s="27"/>
      <c r="F50" s="25"/>
      <c r="G50" s="24"/>
    </row>
    <row r="51">
      <c r="C51" s="27"/>
      <c r="F51" s="25"/>
      <c r="G51" s="24"/>
    </row>
    <row r="52">
      <c r="C52" s="27"/>
      <c r="F52" s="25"/>
      <c r="G52" s="24"/>
    </row>
    <row r="53">
      <c r="C53" s="27"/>
      <c r="F53" s="25"/>
      <c r="G53" s="24"/>
    </row>
    <row r="54">
      <c r="C54" s="27"/>
      <c r="F54" s="25"/>
      <c r="G54" s="24"/>
    </row>
    <row r="55">
      <c r="C55" s="27"/>
      <c r="F55" s="25"/>
      <c r="G55" s="24"/>
    </row>
    <row r="56">
      <c r="C56" s="27"/>
      <c r="F56" s="25"/>
      <c r="G56" s="24"/>
    </row>
    <row r="57">
      <c r="C57" s="27"/>
      <c r="F57" s="25"/>
      <c r="G57" s="24"/>
    </row>
    <row r="58">
      <c r="C58" s="27"/>
      <c r="F58" s="25"/>
      <c r="G58" s="24"/>
    </row>
    <row r="59">
      <c r="C59" s="27"/>
      <c r="F59" s="25"/>
      <c r="G59" s="24"/>
    </row>
    <row r="60">
      <c r="C60" s="27"/>
      <c r="F60" s="25"/>
      <c r="G60" s="24"/>
    </row>
    <row r="61">
      <c r="C61" s="27"/>
      <c r="F61" s="25"/>
      <c r="G61" s="24"/>
    </row>
    <row r="62">
      <c r="C62" s="27"/>
      <c r="F62" s="25"/>
      <c r="G62" s="24"/>
    </row>
    <row r="63">
      <c r="C63" s="27"/>
      <c r="F63" s="25"/>
      <c r="G63" s="24"/>
    </row>
    <row r="64">
      <c r="C64" s="27"/>
      <c r="F64" s="25"/>
      <c r="G64" s="24"/>
    </row>
    <row r="65">
      <c r="C65" s="27"/>
      <c r="F65" s="25"/>
      <c r="G65" s="24"/>
    </row>
    <row r="66">
      <c r="C66" s="27"/>
      <c r="F66" s="25"/>
      <c r="G66" s="24"/>
    </row>
    <row r="67">
      <c r="C67" s="27"/>
      <c r="F67" s="25"/>
      <c r="G67" s="24"/>
    </row>
    <row r="68">
      <c r="C68" s="27"/>
      <c r="F68" s="25"/>
      <c r="G68" s="24"/>
    </row>
    <row r="69">
      <c r="C69" s="27"/>
      <c r="F69" s="25"/>
      <c r="G69" s="24"/>
    </row>
    <row r="70">
      <c r="C70" s="27"/>
      <c r="F70" s="25"/>
      <c r="G70" s="24"/>
    </row>
    <row r="71">
      <c r="C71" s="27"/>
      <c r="F71" s="25"/>
      <c r="G71" s="24"/>
    </row>
    <row r="72">
      <c r="C72" s="27"/>
      <c r="F72" s="25"/>
      <c r="G72" s="24"/>
    </row>
    <row r="73">
      <c r="C73" s="27"/>
      <c r="F73" s="25"/>
      <c r="G73" s="24"/>
    </row>
    <row r="74">
      <c r="C74" s="27"/>
      <c r="F74" s="25"/>
      <c r="G74" s="24"/>
    </row>
    <row r="75">
      <c r="C75" s="27"/>
      <c r="F75" s="25"/>
      <c r="G75" s="24"/>
    </row>
    <row r="76">
      <c r="C76" s="27"/>
      <c r="F76" s="25"/>
      <c r="G76" s="24"/>
    </row>
    <row r="77">
      <c r="C77" s="27"/>
      <c r="F77" s="25"/>
      <c r="G77" s="24"/>
    </row>
    <row r="78">
      <c r="C78" s="27"/>
      <c r="F78" s="25"/>
      <c r="G78" s="24"/>
    </row>
    <row r="79">
      <c r="C79" s="27"/>
      <c r="F79" s="25"/>
      <c r="G79" s="24"/>
    </row>
    <row r="80">
      <c r="C80" s="27"/>
      <c r="F80" s="25"/>
      <c r="G80" s="24"/>
    </row>
    <row r="81">
      <c r="C81" s="27"/>
      <c r="F81" s="25"/>
      <c r="G81" s="24"/>
    </row>
    <row r="82">
      <c r="C82" s="27"/>
      <c r="F82" s="25"/>
      <c r="G82" s="24"/>
    </row>
    <row r="83">
      <c r="C83" s="27"/>
      <c r="F83" s="25"/>
      <c r="G83" s="24"/>
    </row>
    <row r="84">
      <c r="C84" s="27"/>
      <c r="F84" s="25"/>
      <c r="G84" s="24"/>
    </row>
    <row r="85">
      <c r="C85" s="27"/>
      <c r="F85" s="25"/>
      <c r="G85" s="24"/>
    </row>
    <row r="86">
      <c r="C86" s="27"/>
      <c r="F86" s="25"/>
      <c r="G86" s="24"/>
    </row>
    <row r="87">
      <c r="C87" s="27"/>
      <c r="F87" s="25"/>
      <c r="G87" s="24"/>
    </row>
    <row r="88">
      <c r="C88" s="27"/>
      <c r="F88" s="25"/>
      <c r="G88" s="24"/>
    </row>
    <row r="89">
      <c r="C89" s="27"/>
      <c r="F89" s="25"/>
      <c r="G89" s="24"/>
    </row>
    <row r="90">
      <c r="C90" s="27"/>
      <c r="F90" s="25"/>
      <c r="G90" s="24"/>
    </row>
    <row r="91">
      <c r="C91" s="27"/>
      <c r="F91" s="25"/>
      <c r="G91" s="24"/>
    </row>
    <row r="92">
      <c r="C92" s="27"/>
      <c r="F92" s="25"/>
      <c r="G92" s="24"/>
    </row>
    <row r="93">
      <c r="C93" s="27"/>
      <c r="F93" s="25"/>
      <c r="G93" s="24"/>
    </row>
    <row r="94">
      <c r="C94" s="27"/>
      <c r="F94" s="25"/>
      <c r="G94" s="24"/>
    </row>
    <row r="95">
      <c r="C95" s="27"/>
      <c r="F95" s="25"/>
      <c r="G95" s="24"/>
    </row>
    <row r="96">
      <c r="C96" s="27"/>
      <c r="F96" s="25"/>
      <c r="G96" s="24"/>
    </row>
    <row r="97">
      <c r="C97" s="27"/>
      <c r="F97" s="25"/>
      <c r="G97" s="24"/>
    </row>
    <row r="98">
      <c r="C98" s="27"/>
      <c r="F98" s="25"/>
      <c r="G98" s="24"/>
    </row>
    <row r="99">
      <c r="C99" s="27"/>
      <c r="F99" s="25"/>
      <c r="G99" s="24"/>
    </row>
    <row r="100">
      <c r="C100" s="27"/>
      <c r="F100" s="25"/>
      <c r="G100" s="24"/>
    </row>
    <row r="101">
      <c r="C101" s="27"/>
      <c r="F101" s="25"/>
      <c r="G101" s="24"/>
    </row>
    <row r="102">
      <c r="C102" s="27"/>
      <c r="F102" s="25"/>
      <c r="G102" s="24"/>
    </row>
    <row r="103">
      <c r="C103" s="27"/>
      <c r="F103" s="25"/>
      <c r="G103" s="24"/>
    </row>
    <row r="104">
      <c r="C104" s="27"/>
      <c r="F104" s="25"/>
      <c r="G104" s="24"/>
    </row>
    <row r="105">
      <c r="C105" s="27"/>
      <c r="F105" s="25"/>
      <c r="G105" s="24"/>
    </row>
    <row r="106">
      <c r="C106" s="27"/>
      <c r="F106" s="25"/>
      <c r="G106" s="24"/>
    </row>
    <row r="107">
      <c r="C107" s="27"/>
      <c r="F107" s="25"/>
      <c r="G107" s="24"/>
    </row>
    <row r="108">
      <c r="C108" s="27"/>
      <c r="F108" s="25"/>
      <c r="G108" s="24"/>
    </row>
    <row r="109">
      <c r="C109" s="27"/>
      <c r="F109" s="25"/>
      <c r="G109" s="24"/>
    </row>
    <row r="110">
      <c r="C110" s="27"/>
      <c r="F110" s="25"/>
      <c r="G110" s="24"/>
    </row>
    <row r="111">
      <c r="C111" s="27"/>
      <c r="F111" s="25"/>
      <c r="G111" s="24"/>
    </row>
    <row r="112">
      <c r="C112" s="27"/>
      <c r="F112" s="25"/>
      <c r="G112" s="24"/>
    </row>
    <row r="113">
      <c r="C113" s="27"/>
      <c r="F113" s="25"/>
      <c r="G113" s="24"/>
    </row>
    <row r="114">
      <c r="C114" s="27"/>
      <c r="F114" s="25"/>
      <c r="G114" s="24"/>
    </row>
    <row r="115">
      <c r="C115" s="27"/>
      <c r="F115" s="25"/>
      <c r="G115" s="24"/>
    </row>
    <row r="116">
      <c r="C116" s="27"/>
      <c r="F116" s="25"/>
      <c r="G116" s="24"/>
    </row>
    <row r="117">
      <c r="C117" s="27"/>
      <c r="F117" s="25"/>
      <c r="G117" s="24"/>
    </row>
    <row r="118">
      <c r="C118" s="27"/>
      <c r="F118" s="25"/>
      <c r="G118" s="24"/>
    </row>
    <row r="119">
      <c r="C119" s="27"/>
      <c r="F119" s="25"/>
      <c r="G119" s="24"/>
    </row>
    <row r="120">
      <c r="C120" s="27"/>
      <c r="F120" s="25"/>
      <c r="G120" s="24"/>
    </row>
    <row r="121">
      <c r="C121" s="27"/>
      <c r="F121" s="25"/>
      <c r="G121" s="24"/>
    </row>
    <row r="122">
      <c r="C122" s="27"/>
      <c r="F122" s="25"/>
      <c r="G122" s="24"/>
    </row>
    <row r="123">
      <c r="C123" s="27"/>
      <c r="F123" s="25"/>
      <c r="G123" s="24"/>
    </row>
    <row r="124">
      <c r="C124" s="27"/>
      <c r="F124" s="25"/>
      <c r="G124" s="24"/>
    </row>
    <row r="125">
      <c r="C125" s="27"/>
      <c r="F125" s="25"/>
      <c r="G125" s="24"/>
    </row>
    <row r="126">
      <c r="C126" s="27"/>
      <c r="F126" s="25"/>
      <c r="G126" s="24"/>
    </row>
    <row r="127">
      <c r="C127" s="27"/>
      <c r="F127" s="25"/>
      <c r="G127" s="24"/>
    </row>
    <row r="128">
      <c r="C128" s="27"/>
      <c r="F128" s="25"/>
      <c r="G128" s="24"/>
    </row>
    <row r="129">
      <c r="C129" s="27"/>
      <c r="F129" s="25"/>
      <c r="G129" s="24"/>
    </row>
    <row r="130">
      <c r="C130" s="27"/>
      <c r="F130" s="25"/>
      <c r="G130" s="24"/>
    </row>
    <row r="131">
      <c r="C131" s="27"/>
      <c r="F131" s="25"/>
      <c r="G131" s="24"/>
    </row>
    <row r="132">
      <c r="C132" s="27"/>
      <c r="F132" s="25"/>
      <c r="G132" s="24"/>
    </row>
    <row r="133">
      <c r="C133" s="27"/>
      <c r="F133" s="25"/>
      <c r="G133" s="24"/>
    </row>
    <row r="134">
      <c r="C134" s="27"/>
      <c r="F134" s="25"/>
      <c r="G134" s="24"/>
    </row>
    <row r="135">
      <c r="C135" s="27"/>
      <c r="F135" s="25"/>
      <c r="G135" s="24"/>
    </row>
    <row r="136">
      <c r="C136" s="27"/>
      <c r="F136" s="25"/>
      <c r="G136" s="24"/>
    </row>
    <row r="137">
      <c r="C137" s="27"/>
      <c r="F137" s="25"/>
      <c r="G137" s="24"/>
    </row>
    <row r="138">
      <c r="C138" s="27"/>
      <c r="F138" s="25"/>
      <c r="G138" s="24"/>
    </row>
    <row r="139">
      <c r="C139" s="27"/>
      <c r="F139" s="25"/>
      <c r="G139" s="24"/>
    </row>
    <row r="140">
      <c r="C140" s="27"/>
      <c r="F140" s="25"/>
      <c r="G140" s="24"/>
    </row>
    <row r="141">
      <c r="C141" s="27"/>
      <c r="F141" s="25"/>
      <c r="G141" s="24"/>
    </row>
    <row r="142">
      <c r="C142" s="27"/>
      <c r="F142" s="25"/>
      <c r="G142" s="24"/>
    </row>
    <row r="143">
      <c r="C143" s="27"/>
      <c r="F143" s="25"/>
      <c r="G143" s="24"/>
    </row>
    <row r="144">
      <c r="C144" s="27"/>
      <c r="F144" s="25"/>
      <c r="G144" s="24"/>
    </row>
    <row r="145">
      <c r="C145" s="27"/>
      <c r="F145" s="25"/>
      <c r="G145" s="24"/>
    </row>
    <row r="146">
      <c r="C146" s="27"/>
      <c r="F146" s="25"/>
      <c r="G146" s="24"/>
    </row>
    <row r="147">
      <c r="C147" s="27"/>
      <c r="F147" s="25"/>
      <c r="G147" s="24"/>
    </row>
    <row r="148">
      <c r="C148" s="27"/>
      <c r="F148" s="25"/>
      <c r="G148" s="24"/>
    </row>
    <row r="149">
      <c r="C149" s="27"/>
      <c r="F149" s="25"/>
      <c r="G149" s="24"/>
    </row>
    <row r="150">
      <c r="C150" s="27"/>
      <c r="F150" s="25"/>
      <c r="G150" s="24"/>
    </row>
    <row r="151">
      <c r="C151" s="27"/>
      <c r="F151" s="25"/>
      <c r="G151" s="24"/>
    </row>
    <row r="152">
      <c r="C152" s="27"/>
      <c r="F152" s="25"/>
      <c r="G152" s="24"/>
    </row>
    <row r="153">
      <c r="C153" s="27"/>
      <c r="F153" s="25"/>
      <c r="G153" s="24"/>
    </row>
    <row r="154">
      <c r="C154" s="27"/>
      <c r="F154" s="25"/>
      <c r="G154" s="24"/>
    </row>
    <row r="155">
      <c r="C155" s="27"/>
      <c r="F155" s="25"/>
      <c r="G155" s="24"/>
    </row>
    <row r="156">
      <c r="C156" s="27"/>
      <c r="F156" s="25"/>
      <c r="G156" s="24"/>
    </row>
    <row r="157">
      <c r="C157" s="27"/>
      <c r="F157" s="25"/>
      <c r="G157" s="24"/>
    </row>
    <row r="158">
      <c r="C158" s="27"/>
      <c r="F158" s="25"/>
      <c r="G158" s="24"/>
    </row>
    <row r="159">
      <c r="C159" s="27"/>
      <c r="F159" s="25"/>
      <c r="G159" s="24"/>
    </row>
    <row r="160">
      <c r="C160" s="27"/>
      <c r="F160" s="25"/>
      <c r="G160" s="24"/>
    </row>
    <row r="161">
      <c r="C161" s="27"/>
      <c r="F161" s="25"/>
      <c r="G161" s="24"/>
    </row>
    <row r="162">
      <c r="C162" s="27"/>
      <c r="F162" s="25"/>
      <c r="G162" s="24"/>
    </row>
    <row r="163">
      <c r="C163" s="27"/>
      <c r="F163" s="25"/>
      <c r="G163" s="24"/>
    </row>
    <row r="164">
      <c r="C164" s="27"/>
      <c r="F164" s="25"/>
      <c r="G164" s="24"/>
    </row>
    <row r="165">
      <c r="C165" s="27"/>
      <c r="F165" s="25"/>
      <c r="G165" s="24"/>
    </row>
    <row r="166">
      <c r="C166" s="27"/>
      <c r="F166" s="25"/>
      <c r="G166" s="24"/>
    </row>
    <row r="167">
      <c r="C167" s="27"/>
      <c r="F167" s="25"/>
      <c r="G167" s="24"/>
    </row>
    <row r="168">
      <c r="C168" s="27"/>
      <c r="F168" s="25"/>
      <c r="G168" s="24"/>
    </row>
    <row r="169">
      <c r="C169" s="27"/>
      <c r="F169" s="25"/>
      <c r="G169" s="24"/>
    </row>
    <row r="170">
      <c r="C170" s="27"/>
      <c r="F170" s="25"/>
      <c r="G170" s="24"/>
    </row>
    <row r="171">
      <c r="C171" s="27"/>
      <c r="F171" s="25"/>
      <c r="G171" s="24"/>
    </row>
    <row r="172">
      <c r="C172" s="27"/>
      <c r="F172" s="25"/>
      <c r="G172" s="24"/>
    </row>
    <row r="173">
      <c r="C173" s="27"/>
      <c r="F173" s="25"/>
      <c r="G173" s="24"/>
    </row>
    <row r="174">
      <c r="C174" s="27"/>
      <c r="F174" s="25"/>
      <c r="G174" s="24"/>
    </row>
    <row r="175">
      <c r="C175" s="27"/>
      <c r="F175" s="25"/>
      <c r="G175" s="24"/>
    </row>
    <row r="176">
      <c r="C176" s="27"/>
      <c r="F176" s="25"/>
      <c r="G176" s="24"/>
    </row>
    <row r="177">
      <c r="C177" s="27"/>
      <c r="F177" s="25"/>
      <c r="G177" s="24"/>
    </row>
    <row r="178">
      <c r="C178" s="27"/>
      <c r="F178" s="25"/>
      <c r="G178" s="24"/>
    </row>
    <row r="179">
      <c r="C179" s="27"/>
      <c r="F179" s="25"/>
      <c r="G179" s="24"/>
    </row>
    <row r="180">
      <c r="C180" s="27"/>
      <c r="F180" s="25"/>
      <c r="G180" s="24"/>
    </row>
    <row r="181">
      <c r="C181" s="27"/>
      <c r="F181" s="25"/>
      <c r="G181" s="24"/>
    </row>
    <row r="182">
      <c r="C182" s="27"/>
      <c r="F182" s="25"/>
      <c r="G182" s="24"/>
    </row>
    <row r="183">
      <c r="C183" s="27"/>
      <c r="F183" s="25"/>
      <c r="G183" s="24"/>
    </row>
    <row r="184">
      <c r="C184" s="27"/>
      <c r="F184" s="25"/>
      <c r="G184" s="24"/>
    </row>
    <row r="185">
      <c r="C185" s="27"/>
      <c r="F185" s="25"/>
      <c r="G185" s="24"/>
    </row>
    <row r="186">
      <c r="C186" s="27"/>
      <c r="F186" s="25"/>
      <c r="G186" s="24"/>
    </row>
    <row r="187">
      <c r="C187" s="27"/>
      <c r="F187" s="25"/>
      <c r="G187" s="24"/>
    </row>
    <row r="188">
      <c r="C188" s="27"/>
      <c r="F188" s="25"/>
      <c r="G188" s="24"/>
    </row>
    <row r="189">
      <c r="C189" s="27"/>
      <c r="F189" s="25"/>
      <c r="G189" s="24"/>
    </row>
    <row r="190">
      <c r="C190" s="27"/>
      <c r="F190" s="25"/>
      <c r="G190" s="24"/>
    </row>
    <row r="191">
      <c r="C191" s="27"/>
      <c r="F191" s="25"/>
      <c r="G191" s="24"/>
    </row>
    <row r="192">
      <c r="C192" s="27"/>
      <c r="F192" s="25"/>
      <c r="G192" s="24"/>
    </row>
    <row r="193">
      <c r="C193" s="27"/>
      <c r="F193" s="25"/>
      <c r="G193" s="24"/>
    </row>
    <row r="194">
      <c r="C194" s="27"/>
      <c r="F194" s="25"/>
      <c r="G194" s="24"/>
    </row>
    <row r="195">
      <c r="C195" s="27"/>
      <c r="F195" s="25"/>
      <c r="G195" s="24"/>
    </row>
    <row r="196">
      <c r="C196" s="27"/>
      <c r="F196" s="25"/>
      <c r="G196" s="24"/>
    </row>
    <row r="197">
      <c r="C197" s="27"/>
      <c r="F197" s="25"/>
      <c r="G197" s="24"/>
    </row>
    <row r="198">
      <c r="C198" s="27"/>
      <c r="F198" s="25"/>
      <c r="G198" s="24"/>
    </row>
    <row r="199">
      <c r="C199" s="27"/>
      <c r="F199" s="25"/>
      <c r="G199" s="24"/>
    </row>
    <row r="200">
      <c r="C200" s="27"/>
      <c r="F200" s="25"/>
      <c r="G200" s="24"/>
    </row>
    <row r="201">
      <c r="C201" s="27"/>
      <c r="F201" s="25"/>
      <c r="G201" s="24"/>
    </row>
    <row r="202">
      <c r="C202" s="27"/>
      <c r="F202" s="25"/>
      <c r="G202" s="24"/>
    </row>
    <row r="203">
      <c r="C203" s="27"/>
      <c r="F203" s="25"/>
      <c r="G203" s="24"/>
    </row>
    <row r="204">
      <c r="C204" s="27"/>
      <c r="F204" s="25"/>
      <c r="G204" s="24"/>
    </row>
    <row r="205">
      <c r="C205" s="27"/>
      <c r="F205" s="25"/>
      <c r="G205" s="24"/>
    </row>
    <row r="206">
      <c r="C206" s="27"/>
      <c r="F206" s="25"/>
      <c r="G206" s="24"/>
    </row>
    <row r="207">
      <c r="C207" s="27"/>
      <c r="F207" s="25"/>
      <c r="G207" s="24"/>
    </row>
    <row r="208">
      <c r="C208" s="27"/>
      <c r="F208" s="25"/>
      <c r="G208" s="24"/>
    </row>
    <row r="209">
      <c r="C209" s="27"/>
      <c r="F209" s="25"/>
      <c r="G209" s="24"/>
    </row>
    <row r="210">
      <c r="C210" s="27"/>
      <c r="F210" s="25"/>
      <c r="G210" s="24"/>
    </row>
    <row r="211">
      <c r="C211" s="27"/>
      <c r="F211" s="25"/>
      <c r="G211" s="24"/>
    </row>
    <row r="212">
      <c r="C212" s="27"/>
      <c r="F212" s="25"/>
      <c r="G212" s="24"/>
    </row>
    <row r="213">
      <c r="C213" s="27"/>
      <c r="F213" s="25"/>
      <c r="G213" s="24"/>
    </row>
    <row r="214">
      <c r="C214" s="27"/>
      <c r="F214" s="25"/>
      <c r="G214" s="24"/>
    </row>
    <row r="215">
      <c r="C215" s="27"/>
      <c r="F215" s="25"/>
      <c r="G215" s="24"/>
    </row>
    <row r="216">
      <c r="C216" s="27"/>
      <c r="F216" s="25"/>
      <c r="G216" s="24"/>
    </row>
    <row r="217">
      <c r="C217" s="27"/>
      <c r="F217" s="25"/>
      <c r="G217" s="24"/>
    </row>
    <row r="218">
      <c r="C218" s="27"/>
      <c r="F218" s="25"/>
      <c r="G218" s="24"/>
    </row>
    <row r="219">
      <c r="C219" s="27"/>
      <c r="F219" s="25"/>
      <c r="G219" s="24"/>
    </row>
    <row r="220">
      <c r="C220" s="27"/>
      <c r="F220" s="25"/>
      <c r="G220" s="24"/>
    </row>
    <row r="221">
      <c r="C221" s="27"/>
      <c r="F221" s="25"/>
      <c r="G221" s="24"/>
    </row>
    <row r="222">
      <c r="C222" s="27"/>
      <c r="F222" s="25"/>
      <c r="G222" s="24"/>
    </row>
    <row r="223">
      <c r="C223" s="27"/>
      <c r="F223" s="25"/>
      <c r="G223" s="24"/>
    </row>
    <row r="224">
      <c r="C224" s="27"/>
      <c r="F224" s="25"/>
      <c r="G224" s="24"/>
    </row>
    <row r="225">
      <c r="C225" s="27"/>
      <c r="F225" s="25"/>
      <c r="G225" s="24"/>
    </row>
    <row r="226">
      <c r="C226" s="27"/>
      <c r="F226" s="25"/>
      <c r="G226" s="24"/>
    </row>
    <row r="227">
      <c r="C227" s="27"/>
      <c r="F227" s="25"/>
      <c r="G227" s="24"/>
    </row>
    <row r="228">
      <c r="C228" s="27"/>
      <c r="F228" s="25"/>
      <c r="G228" s="24"/>
    </row>
    <row r="229">
      <c r="C229" s="27"/>
      <c r="F229" s="25"/>
      <c r="G229" s="24"/>
    </row>
    <row r="230">
      <c r="C230" s="27"/>
      <c r="F230" s="25"/>
      <c r="G230" s="24"/>
    </row>
    <row r="231">
      <c r="C231" s="27"/>
      <c r="F231" s="25"/>
      <c r="G231" s="24"/>
    </row>
    <row r="232">
      <c r="C232" s="27"/>
      <c r="F232" s="25"/>
      <c r="G232" s="24"/>
    </row>
    <row r="233">
      <c r="C233" s="27"/>
      <c r="F233" s="25"/>
      <c r="G233" s="24"/>
    </row>
    <row r="234">
      <c r="C234" s="27"/>
      <c r="F234" s="25"/>
      <c r="G234" s="24"/>
    </row>
    <row r="235">
      <c r="C235" s="27"/>
      <c r="F235" s="25"/>
      <c r="G235" s="24"/>
    </row>
    <row r="236">
      <c r="C236" s="27"/>
      <c r="F236" s="25"/>
      <c r="G236" s="24"/>
    </row>
    <row r="237">
      <c r="C237" s="27"/>
      <c r="F237" s="25"/>
      <c r="G237" s="24"/>
    </row>
    <row r="238">
      <c r="C238" s="27"/>
      <c r="F238" s="25"/>
      <c r="G238" s="24"/>
    </row>
    <row r="239">
      <c r="C239" s="27"/>
      <c r="F239" s="25"/>
      <c r="G239" s="24"/>
    </row>
    <row r="240">
      <c r="C240" s="27"/>
      <c r="F240" s="25"/>
      <c r="G240" s="24"/>
    </row>
    <row r="241">
      <c r="C241" s="27"/>
      <c r="F241" s="25"/>
      <c r="G241" s="24"/>
    </row>
    <row r="242">
      <c r="C242" s="27"/>
      <c r="F242" s="25"/>
      <c r="G242" s="24"/>
    </row>
    <row r="243">
      <c r="C243" s="27"/>
      <c r="F243" s="25"/>
      <c r="G243" s="24"/>
    </row>
    <row r="244">
      <c r="C244" s="27"/>
      <c r="F244" s="25"/>
      <c r="G244" s="24"/>
    </row>
    <row r="245">
      <c r="C245" s="27"/>
      <c r="F245" s="25"/>
      <c r="G245" s="24"/>
    </row>
    <row r="246">
      <c r="C246" s="27"/>
      <c r="F246" s="25"/>
      <c r="G246" s="24"/>
    </row>
    <row r="247">
      <c r="C247" s="27"/>
      <c r="F247" s="25"/>
      <c r="G247" s="24"/>
    </row>
    <row r="248">
      <c r="C248" s="27"/>
      <c r="F248" s="25"/>
      <c r="G248" s="24"/>
    </row>
    <row r="249">
      <c r="C249" s="27"/>
      <c r="F249" s="25"/>
      <c r="G249" s="24"/>
    </row>
    <row r="250">
      <c r="C250" s="27"/>
      <c r="F250" s="25"/>
      <c r="G250" s="24"/>
    </row>
    <row r="251">
      <c r="C251" s="27"/>
      <c r="F251" s="25"/>
      <c r="G251" s="24"/>
    </row>
    <row r="252">
      <c r="C252" s="27"/>
      <c r="F252" s="25"/>
      <c r="G252" s="24"/>
    </row>
    <row r="253">
      <c r="C253" s="27"/>
      <c r="F253" s="25"/>
      <c r="G253" s="24"/>
    </row>
    <row r="254">
      <c r="C254" s="27"/>
      <c r="F254" s="25"/>
      <c r="G254" s="24"/>
    </row>
    <row r="255">
      <c r="C255" s="27"/>
      <c r="F255" s="25"/>
      <c r="G255" s="24"/>
    </row>
    <row r="256">
      <c r="C256" s="27"/>
      <c r="F256" s="25"/>
      <c r="G256" s="24"/>
    </row>
    <row r="257">
      <c r="C257" s="27"/>
      <c r="F257" s="25"/>
      <c r="G257" s="24"/>
    </row>
    <row r="258">
      <c r="C258" s="27"/>
      <c r="F258" s="25"/>
      <c r="G258" s="24"/>
    </row>
    <row r="259">
      <c r="C259" s="27"/>
      <c r="F259" s="25"/>
      <c r="G259" s="24"/>
    </row>
    <row r="260">
      <c r="C260" s="27"/>
      <c r="F260" s="25"/>
      <c r="G260" s="24"/>
    </row>
    <row r="261">
      <c r="C261" s="27"/>
      <c r="F261" s="25"/>
      <c r="G261" s="24"/>
    </row>
    <row r="262">
      <c r="C262" s="27"/>
      <c r="F262" s="25"/>
      <c r="G262" s="24"/>
    </row>
    <row r="263">
      <c r="C263" s="27"/>
      <c r="F263" s="25"/>
      <c r="G263" s="24"/>
    </row>
    <row r="264">
      <c r="C264" s="27"/>
      <c r="F264" s="25"/>
      <c r="G264" s="24"/>
    </row>
    <row r="265">
      <c r="C265" s="27"/>
      <c r="F265" s="25"/>
      <c r="G265" s="24"/>
    </row>
    <row r="266">
      <c r="C266" s="27"/>
      <c r="F266" s="25"/>
      <c r="G266" s="24"/>
    </row>
    <row r="267">
      <c r="C267" s="27"/>
      <c r="F267" s="25"/>
      <c r="G267" s="24"/>
    </row>
    <row r="268">
      <c r="C268" s="27"/>
      <c r="F268" s="25"/>
      <c r="G268" s="24"/>
    </row>
    <row r="269">
      <c r="C269" s="27"/>
      <c r="F269" s="25"/>
      <c r="G269" s="24"/>
    </row>
    <row r="270">
      <c r="C270" s="27"/>
      <c r="F270" s="25"/>
      <c r="G270" s="24"/>
    </row>
    <row r="271">
      <c r="C271" s="27"/>
      <c r="F271" s="25"/>
      <c r="G271" s="24"/>
    </row>
    <row r="272">
      <c r="C272" s="27"/>
      <c r="F272" s="25"/>
      <c r="G272" s="24"/>
    </row>
    <row r="273">
      <c r="C273" s="27"/>
      <c r="F273" s="25"/>
      <c r="G273" s="24"/>
    </row>
    <row r="274">
      <c r="C274" s="27"/>
      <c r="F274" s="25"/>
      <c r="G274" s="24"/>
    </row>
    <row r="275">
      <c r="C275" s="27"/>
      <c r="F275" s="25"/>
      <c r="G275" s="24"/>
    </row>
    <row r="276">
      <c r="C276" s="27"/>
      <c r="F276" s="25"/>
      <c r="G276" s="24"/>
    </row>
    <row r="277">
      <c r="C277" s="27"/>
      <c r="F277" s="25"/>
      <c r="G277" s="24"/>
    </row>
    <row r="278">
      <c r="C278" s="27"/>
      <c r="F278" s="25"/>
      <c r="G278" s="24"/>
    </row>
    <row r="279">
      <c r="C279" s="27"/>
      <c r="F279" s="25"/>
      <c r="G279" s="24"/>
    </row>
    <row r="280">
      <c r="C280" s="27"/>
      <c r="F280" s="25"/>
      <c r="G280" s="24"/>
    </row>
    <row r="281">
      <c r="C281" s="27"/>
      <c r="F281" s="25"/>
      <c r="G281" s="24"/>
    </row>
    <row r="282">
      <c r="C282" s="27"/>
      <c r="F282" s="25"/>
      <c r="G282" s="24"/>
    </row>
    <row r="283">
      <c r="C283" s="27"/>
      <c r="F283" s="25"/>
      <c r="G283" s="24"/>
    </row>
    <row r="284">
      <c r="C284" s="27"/>
      <c r="F284" s="25"/>
      <c r="G284" s="24"/>
    </row>
    <row r="285">
      <c r="C285" s="27"/>
      <c r="F285" s="25"/>
      <c r="G285" s="24"/>
    </row>
    <row r="286">
      <c r="C286" s="27"/>
      <c r="F286" s="25"/>
      <c r="G286" s="24"/>
    </row>
    <row r="287">
      <c r="C287" s="27"/>
      <c r="F287" s="25"/>
      <c r="G287" s="24"/>
    </row>
    <row r="288">
      <c r="C288" s="27"/>
      <c r="F288" s="25"/>
      <c r="G288" s="24"/>
    </row>
    <row r="289">
      <c r="C289" s="27"/>
      <c r="F289" s="25"/>
      <c r="G289" s="24"/>
    </row>
    <row r="290">
      <c r="C290" s="27"/>
      <c r="F290" s="25"/>
      <c r="G290" s="24"/>
    </row>
    <row r="291">
      <c r="C291" s="27"/>
      <c r="F291" s="25"/>
      <c r="G291" s="24"/>
    </row>
    <row r="292">
      <c r="C292" s="27"/>
      <c r="F292" s="25"/>
      <c r="G292" s="24"/>
    </row>
    <row r="293">
      <c r="C293" s="27"/>
      <c r="F293" s="25"/>
      <c r="G293" s="24"/>
    </row>
    <row r="294">
      <c r="C294" s="27"/>
      <c r="F294" s="25"/>
      <c r="G294" s="24"/>
    </row>
    <row r="295">
      <c r="C295" s="27"/>
      <c r="F295" s="25"/>
      <c r="G295" s="24"/>
    </row>
    <row r="296">
      <c r="C296" s="27"/>
      <c r="F296" s="25"/>
      <c r="G296" s="24"/>
    </row>
    <row r="297">
      <c r="C297" s="27"/>
      <c r="F297" s="25"/>
      <c r="G297" s="24"/>
    </row>
    <row r="298">
      <c r="C298" s="27"/>
      <c r="F298" s="25"/>
      <c r="G298" s="24"/>
    </row>
    <row r="299">
      <c r="C299" s="27"/>
      <c r="F299" s="25"/>
      <c r="G299" s="24"/>
    </row>
    <row r="300">
      <c r="C300" s="27"/>
      <c r="F300" s="25"/>
      <c r="G300" s="24"/>
    </row>
    <row r="301">
      <c r="C301" s="27"/>
      <c r="F301" s="25"/>
      <c r="G301" s="24"/>
    </row>
    <row r="302">
      <c r="C302" s="27"/>
      <c r="F302" s="25"/>
      <c r="G302" s="24"/>
    </row>
    <row r="303">
      <c r="C303" s="27"/>
      <c r="F303" s="25"/>
      <c r="G303" s="24"/>
    </row>
    <row r="304">
      <c r="C304" s="27"/>
      <c r="F304" s="25"/>
      <c r="G304" s="24"/>
    </row>
    <row r="305">
      <c r="C305" s="27"/>
      <c r="F305" s="25"/>
      <c r="G305" s="24"/>
    </row>
    <row r="306">
      <c r="C306" s="27"/>
      <c r="F306" s="25"/>
      <c r="G306" s="24"/>
    </row>
    <row r="307">
      <c r="C307" s="27"/>
      <c r="F307" s="25"/>
      <c r="G307" s="24"/>
    </row>
    <row r="308">
      <c r="C308" s="27"/>
      <c r="F308" s="25"/>
      <c r="G308" s="24"/>
    </row>
    <row r="309">
      <c r="C309" s="27"/>
      <c r="F309" s="25"/>
      <c r="G309" s="24"/>
    </row>
    <row r="310">
      <c r="C310" s="27"/>
      <c r="F310" s="25"/>
      <c r="G310" s="24"/>
    </row>
    <row r="311">
      <c r="C311" s="27"/>
      <c r="F311" s="25"/>
      <c r="G311" s="24"/>
    </row>
    <row r="312">
      <c r="C312" s="27"/>
      <c r="F312" s="25"/>
      <c r="G312" s="24"/>
    </row>
    <row r="313">
      <c r="C313" s="27"/>
      <c r="F313" s="25"/>
      <c r="G313" s="24"/>
    </row>
    <row r="314">
      <c r="C314" s="27"/>
      <c r="F314" s="25"/>
      <c r="G314" s="24"/>
    </row>
    <row r="315">
      <c r="C315" s="27"/>
      <c r="F315" s="25"/>
      <c r="G315" s="24"/>
    </row>
    <row r="316">
      <c r="C316" s="27"/>
      <c r="F316" s="25"/>
      <c r="G316" s="24"/>
    </row>
    <row r="317">
      <c r="C317" s="27"/>
      <c r="F317" s="25"/>
      <c r="G317" s="24"/>
    </row>
    <row r="318">
      <c r="C318" s="27"/>
      <c r="F318" s="25"/>
      <c r="G318" s="24"/>
    </row>
    <row r="319">
      <c r="C319" s="27"/>
      <c r="F319" s="25"/>
      <c r="G319" s="24"/>
    </row>
    <row r="320">
      <c r="C320" s="27"/>
      <c r="F320" s="25"/>
      <c r="G320" s="24"/>
    </row>
    <row r="321">
      <c r="C321" s="27"/>
      <c r="F321" s="25"/>
      <c r="G321" s="24"/>
    </row>
    <row r="322">
      <c r="C322" s="27"/>
      <c r="F322" s="25"/>
      <c r="G322" s="24"/>
    </row>
    <row r="323">
      <c r="C323" s="27"/>
      <c r="F323" s="25"/>
      <c r="G323" s="24"/>
    </row>
    <row r="324">
      <c r="C324" s="27"/>
      <c r="F324" s="25"/>
      <c r="G324" s="24"/>
    </row>
    <row r="325">
      <c r="C325" s="27"/>
      <c r="F325" s="25"/>
      <c r="G325" s="24"/>
    </row>
    <row r="326">
      <c r="C326" s="27"/>
      <c r="F326" s="25"/>
      <c r="G326" s="24"/>
    </row>
    <row r="327">
      <c r="C327" s="27"/>
      <c r="F327" s="25"/>
      <c r="G327" s="24"/>
    </row>
    <row r="328">
      <c r="C328" s="27"/>
      <c r="F328" s="25"/>
      <c r="G328" s="24"/>
    </row>
    <row r="329">
      <c r="C329" s="27"/>
      <c r="F329" s="25"/>
      <c r="G329" s="24"/>
    </row>
    <row r="330">
      <c r="C330" s="27"/>
      <c r="F330" s="25"/>
      <c r="G330" s="24"/>
    </row>
    <row r="331">
      <c r="C331" s="27"/>
      <c r="F331" s="25"/>
      <c r="G331" s="24"/>
    </row>
    <row r="332">
      <c r="C332" s="27"/>
      <c r="F332" s="25"/>
      <c r="G332" s="24"/>
    </row>
    <row r="333">
      <c r="C333" s="27"/>
      <c r="F333" s="25"/>
      <c r="G333" s="24"/>
    </row>
    <row r="334">
      <c r="C334" s="27"/>
      <c r="F334" s="25"/>
      <c r="G334" s="24"/>
    </row>
    <row r="335">
      <c r="C335" s="27"/>
      <c r="F335" s="25"/>
      <c r="G335" s="24"/>
    </row>
    <row r="336">
      <c r="C336" s="27"/>
      <c r="F336" s="25"/>
      <c r="G336" s="24"/>
    </row>
    <row r="337">
      <c r="C337" s="27"/>
      <c r="F337" s="25"/>
      <c r="G337" s="24"/>
    </row>
    <row r="338">
      <c r="C338" s="27"/>
      <c r="F338" s="25"/>
      <c r="G338" s="24"/>
    </row>
    <row r="339">
      <c r="C339" s="27"/>
      <c r="F339" s="25"/>
      <c r="G339" s="24"/>
    </row>
    <row r="340">
      <c r="C340" s="27"/>
      <c r="F340" s="25"/>
      <c r="G340" s="24"/>
    </row>
    <row r="341">
      <c r="C341" s="27"/>
      <c r="F341" s="25"/>
      <c r="G341" s="24"/>
    </row>
    <row r="342">
      <c r="C342" s="27"/>
      <c r="F342" s="25"/>
      <c r="G342" s="24"/>
    </row>
    <row r="343">
      <c r="C343" s="27"/>
      <c r="F343" s="25"/>
      <c r="G343" s="24"/>
    </row>
    <row r="344">
      <c r="C344" s="27"/>
      <c r="F344" s="25"/>
      <c r="G344" s="24"/>
    </row>
    <row r="345">
      <c r="C345" s="27"/>
      <c r="F345" s="25"/>
      <c r="G345" s="24"/>
    </row>
    <row r="346">
      <c r="C346" s="27"/>
      <c r="F346" s="25"/>
      <c r="G346" s="24"/>
    </row>
    <row r="347">
      <c r="C347" s="27"/>
      <c r="F347" s="25"/>
      <c r="G347" s="24"/>
    </row>
    <row r="348">
      <c r="C348" s="27"/>
      <c r="F348" s="25"/>
      <c r="G348" s="24"/>
    </row>
    <row r="349">
      <c r="C349" s="27"/>
      <c r="F349" s="25"/>
      <c r="G349" s="24"/>
    </row>
    <row r="350">
      <c r="C350" s="27"/>
      <c r="F350" s="25"/>
      <c r="G350" s="24"/>
    </row>
    <row r="351">
      <c r="C351" s="27"/>
      <c r="F351" s="25"/>
      <c r="G351" s="24"/>
    </row>
    <row r="352">
      <c r="C352" s="27"/>
      <c r="F352" s="25"/>
      <c r="G352" s="24"/>
    </row>
    <row r="353">
      <c r="C353" s="27"/>
      <c r="F353" s="25"/>
      <c r="G353" s="24"/>
    </row>
    <row r="354">
      <c r="C354" s="27"/>
      <c r="F354" s="25"/>
      <c r="G354" s="24"/>
    </row>
    <row r="355">
      <c r="C355" s="27"/>
      <c r="F355" s="25"/>
      <c r="G355" s="24"/>
    </row>
    <row r="356">
      <c r="C356" s="27"/>
      <c r="F356" s="25"/>
      <c r="G356" s="24"/>
    </row>
    <row r="357">
      <c r="C357" s="27"/>
      <c r="F357" s="25"/>
      <c r="G357" s="24"/>
    </row>
    <row r="358">
      <c r="C358" s="27"/>
      <c r="F358" s="25"/>
      <c r="G358" s="24"/>
    </row>
    <row r="359">
      <c r="C359" s="27"/>
      <c r="F359" s="25"/>
      <c r="G359" s="24"/>
    </row>
    <row r="360">
      <c r="C360" s="27"/>
      <c r="F360" s="25"/>
      <c r="G360" s="24"/>
    </row>
    <row r="361">
      <c r="C361" s="27"/>
      <c r="F361" s="25"/>
      <c r="G361" s="24"/>
    </row>
    <row r="362">
      <c r="C362" s="27"/>
      <c r="F362" s="25"/>
      <c r="G362" s="24"/>
    </row>
    <row r="363">
      <c r="C363" s="27"/>
      <c r="F363" s="25"/>
      <c r="G363" s="24"/>
    </row>
    <row r="364">
      <c r="C364" s="27"/>
      <c r="F364" s="25"/>
      <c r="G364" s="24"/>
    </row>
    <row r="365">
      <c r="C365" s="27"/>
      <c r="F365" s="25"/>
      <c r="G365" s="24"/>
    </row>
    <row r="366">
      <c r="C366" s="27"/>
      <c r="F366" s="25"/>
      <c r="G366" s="24"/>
    </row>
    <row r="367">
      <c r="C367" s="27"/>
      <c r="F367" s="25"/>
      <c r="G367" s="24"/>
    </row>
    <row r="368">
      <c r="C368" s="27"/>
      <c r="F368" s="25"/>
      <c r="G368" s="24"/>
    </row>
    <row r="369">
      <c r="C369" s="27"/>
      <c r="F369" s="25"/>
      <c r="G369" s="24"/>
    </row>
    <row r="370">
      <c r="C370" s="27"/>
      <c r="F370" s="25"/>
      <c r="G370" s="24"/>
    </row>
    <row r="371">
      <c r="C371" s="27"/>
      <c r="F371" s="25"/>
      <c r="G371" s="24"/>
    </row>
    <row r="372">
      <c r="C372" s="27"/>
      <c r="F372" s="25"/>
      <c r="G372" s="24"/>
    </row>
    <row r="373">
      <c r="C373" s="27"/>
      <c r="F373" s="25"/>
      <c r="G373" s="24"/>
    </row>
    <row r="374">
      <c r="C374" s="27"/>
      <c r="F374" s="25"/>
      <c r="G374" s="24"/>
    </row>
    <row r="375">
      <c r="C375" s="27"/>
      <c r="F375" s="25"/>
      <c r="G375" s="24"/>
    </row>
    <row r="376">
      <c r="C376" s="27"/>
      <c r="F376" s="25"/>
      <c r="G376" s="24"/>
    </row>
    <row r="377">
      <c r="C377" s="27"/>
      <c r="F377" s="25"/>
      <c r="G377" s="24"/>
    </row>
    <row r="378">
      <c r="C378" s="27"/>
      <c r="F378" s="25"/>
      <c r="G378" s="24"/>
    </row>
    <row r="379">
      <c r="C379" s="27"/>
      <c r="F379" s="25"/>
      <c r="G379" s="24"/>
    </row>
    <row r="380">
      <c r="C380" s="27"/>
      <c r="F380" s="25"/>
      <c r="G380" s="24"/>
    </row>
    <row r="381">
      <c r="C381" s="27"/>
      <c r="F381" s="25"/>
      <c r="G381" s="24"/>
    </row>
    <row r="382">
      <c r="C382" s="27"/>
      <c r="F382" s="25"/>
      <c r="G382" s="24"/>
    </row>
    <row r="383">
      <c r="C383" s="27"/>
      <c r="F383" s="25"/>
      <c r="G383" s="24"/>
    </row>
    <row r="384">
      <c r="C384" s="27"/>
      <c r="F384" s="25"/>
      <c r="G384" s="24"/>
    </row>
    <row r="385">
      <c r="C385" s="27"/>
      <c r="F385" s="25"/>
      <c r="G385" s="24"/>
    </row>
    <row r="386">
      <c r="C386" s="27"/>
      <c r="F386" s="25"/>
      <c r="G386" s="24"/>
    </row>
    <row r="387">
      <c r="C387" s="27"/>
      <c r="F387" s="25"/>
      <c r="G387" s="24"/>
    </row>
    <row r="388">
      <c r="C388" s="27"/>
      <c r="F388" s="25"/>
      <c r="G388" s="24"/>
    </row>
    <row r="389">
      <c r="C389" s="27"/>
      <c r="F389" s="25"/>
      <c r="G389" s="24"/>
    </row>
    <row r="390">
      <c r="C390" s="27"/>
      <c r="F390" s="25"/>
      <c r="G390" s="24"/>
    </row>
    <row r="391">
      <c r="C391" s="27"/>
      <c r="F391" s="25"/>
      <c r="G391" s="24"/>
    </row>
    <row r="392">
      <c r="C392" s="27"/>
      <c r="F392" s="25"/>
      <c r="G392" s="24"/>
    </row>
    <row r="393">
      <c r="C393" s="27"/>
      <c r="F393" s="25"/>
      <c r="G393" s="24"/>
    </row>
    <row r="394">
      <c r="C394" s="27"/>
      <c r="F394" s="25"/>
      <c r="G394" s="24"/>
    </row>
    <row r="395">
      <c r="C395" s="27"/>
      <c r="F395" s="25"/>
      <c r="G395" s="24"/>
    </row>
    <row r="396">
      <c r="C396" s="27"/>
      <c r="F396" s="25"/>
      <c r="G396" s="24"/>
    </row>
    <row r="397">
      <c r="C397" s="27"/>
      <c r="F397" s="25"/>
      <c r="G397" s="24"/>
    </row>
    <row r="398">
      <c r="C398" s="27"/>
      <c r="F398" s="25"/>
      <c r="G398" s="24"/>
    </row>
    <row r="399">
      <c r="C399" s="27"/>
      <c r="F399" s="25"/>
      <c r="G399" s="24"/>
    </row>
    <row r="400">
      <c r="C400" s="27"/>
      <c r="F400" s="25"/>
      <c r="G400" s="24"/>
    </row>
    <row r="401">
      <c r="C401" s="27"/>
      <c r="F401" s="25"/>
      <c r="G401" s="24"/>
    </row>
    <row r="402">
      <c r="C402" s="27"/>
      <c r="F402" s="25"/>
      <c r="G402" s="24"/>
    </row>
    <row r="403">
      <c r="C403" s="27"/>
      <c r="F403" s="25"/>
      <c r="G403" s="24"/>
    </row>
    <row r="404">
      <c r="C404" s="27"/>
      <c r="F404" s="25"/>
      <c r="G404" s="24"/>
    </row>
    <row r="405">
      <c r="C405" s="27"/>
      <c r="F405" s="25"/>
      <c r="G405" s="24"/>
    </row>
    <row r="406">
      <c r="C406" s="27"/>
      <c r="F406" s="25"/>
      <c r="G406" s="24"/>
    </row>
    <row r="407">
      <c r="C407" s="27"/>
      <c r="F407" s="25"/>
      <c r="G407" s="24"/>
    </row>
    <row r="408">
      <c r="C408" s="27"/>
      <c r="F408" s="25"/>
      <c r="G408" s="24"/>
    </row>
    <row r="409">
      <c r="C409" s="27"/>
      <c r="F409" s="25"/>
      <c r="G409" s="24"/>
    </row>
    <row r="410">
      <c r="C410" s="27"/>
      <c r="F410" s="25"/>
      <c r="G410" s="24"/>
    </row>
    <row r="411">
      <c r="C411" s="27"/>
      <c r="F411" s="25"/>
      <c r="G411" s="24"/>
    </row>
    <row r="412">
      <c r="C412" s="27"/>
      <c r="F412" s="25"/>
      <c r="G412" s="24"/>
    </row>
    <row r="413">
      <c r="C413" s="27"/>
      <c r="F413" s="25"/>
      <c r="G413" s="24"/>
    </row>
    <row r="414">
      <c r="C414" s="27"/>
      <c r="F414" s="25"/>
      <c r="G414" s="24"/>
    </row>
    <row r="415">
      <c r="C415" s="27"/>
      <c r="F415" s="25"/>
      <c r="G415" s="24"/>
    </row>
    <row r="416">
      <c r="C416" s="27"/>
      <c r="F416" s="25"/>
      <c r="G416" s="24"/>
    </row>
    <row r="417">
      <c r="C417" s="27"/>
      <c r="F417" s="25"/>
      <c r="G417" s="24"/>
    </row>
    <row r="418">
      <c r="C418" s="27"/>
      <c r="F418" s="25"/>
      <c r="G418" s="24"/>
    </row>
    <row r="419">
      <c r="C419" s="27"/>
      <c r="F419" s="25"/>
      <c r="G419" s="24"/>
    </row>
    <row r="420">
      <c r="C420" s="27"/>
      <c r="F420" s="25"/>
      <c r="G420" s="24"/>
    </row>
    <row r="421">
      <c r="C421" s="27"/>
      <c r="F421" s="25"/>
      <c r="G421" s="24"/>
    </row>
    <row r="422">
      <c r="C422" s="27"/>
      <c r="F422" s="25"/>
      <c r="G422" s="24"/>
    </row>
    <row r="423">
      <c r="C423" s="27"/>
      <c r="F423" s="25"/>
      <c r="G423" s="24"/>
    </row>
    <row r="424">
      <c r="C424" s="27"/>
      <c r="F424" s="25"/>
      <c r="G424" s="24"/>
    </row>
    <row r="425">
      <c r="C425" s="27"/>
      <c r="F425" s="25"/>
      <c r="G425" s="24"/>
    </row>
    <row r="426">
      <c r="C426" s="27"/>
      <c r="F426" s="25"/>
      <c r="G426" s="24"/>
    </row>
    <row r="427">
      <c r="C427" s="27"/>
      <c r="F427" s="25"/>
      <c r="G427" s="24"/>
    </row>
    <row r="428">
      <c r="C428" s="27"/>
      <c r="F428" s="25"/>
      <c r="G428" s="24"/>
    </row>
    <row r="429">
      <c r="C429" s="27"/>
      <c r="F429" s="25"/>
      <c r="G429" s="24"/>
    </row>
    <row r="430">
      <c r="C430" s="27"/>
      <c r="F430" s="25"/>
      <c r="G430" s="24"/>
    </row>
    <row r="431">
      <c r="C431" s="27"/>
      <c r="F431" s="25"/>
      <c r="G431" s="24"/>
    </row>
    <row r="432">
      <c r="C432" s="27"/>
      <c r="F432" s="25"/>
      <c r="G432" s="24"/>
    </row>
    <row r="433">
      <c r="C433" s="27"/>
      <c r="F433" s="25"/>
      <c r="G433" s="24"/>
    </row>
    <row r="434">
      <c r="C434" s="27"/>
      <c r="F434" s="25"/>
      <c r="G434" s="24"/>
    </row>
    <row r="435">
      <c r="C435" s="27"/>
      <c r="F435" s="25"/>
      <c r="G435" s="24"/>
    </row>
    <row r="436">
      <c r="C436" s="27"/>
      <c r="F436" s="25"/>
      <c r="G436" s="24"/>
    </row>
    <row r="437">
      <c r="C437" s="27"/>
      <c r="F437" s="25"/>
      <c r="G437" s="24"/>
    </row>
    <row r="438">
      <c r="C438" s="27"/>
      <c r="F438" s="25"/>
      <c r="G438" s="24"/>
    </row>
    <row r="439">
      <c r="C439" s="27"/>
      <c r="F439" s="25"/>
      <c r="G439" s="24"/>
    </row>
    <row r="440">
      <c r="C440" s="27"/>
      <c r="F440" s="25"/>
      <c r="G440" s="24"/>
    </row>
    <row r="441">
      <c r="C441" s="27"/>
      <c r="F441" s="25"/>
      <c r="G441" s="24"/>
    </row>
    <row r="442">
      <c r="C442" s="27"/>
      <c r="F442" s="25"/>
      <c r="G442" s="24"/>
    </row>
    <row r="443">
      <c r="C443" s="27"/>
      <c r="F443" s="25"/>
      <c r="G443" s="24"/>
    </row>
    <row r="444">
      <c r="C444" s="27"/>
      <c r="F444" s="25"/>
      <c r="G444" s="24"/>
    </row>
    <row r="445">
      <c r="C445" s="27"/>
      <c r="F445" s="25"/>
      <c r="G445" s="24"/>
    </row>
    <row r="446">
      <c r="C446" s="27"/>
      <c r="F446" s="25"/>
      <c r="G446" s="24"/>
    </row>
    <row r="447">
      <c r="C447" s="27"/>
      <c r="F447" s="25"/>
      <c r="G447" s="24"/>
    </row>
    <row r="448">
      <c r="C448" s="27"/>
      <c r="F448" s="25"/>
      <c r="G448" s="24"/>
    </row>
    <row r="449">
      <c r="C449" s="27"/>
      <c r="F449" s="25"/>
      <c r="G449" s="24"/>
    </row>
    <row r="450">
      <c r="C450" s="27"/>
      <c r="F450" s="25"/>
      <c r="G450" s="24"/>
    </row>
    <row r="451">
      <c r="C451" s="27"/>
      <c r="F451" s="25"/>
      <c r="G451" s="24"/>
    </row>
    <row r="452">
      <c r="C452" s="27"/>
      <c r="F452" s="25"/>
      <c r="G452" s="24"/>
    </row>
    <row r="453">
      <c r="C453" s="27"/>
      <c r="F453" s="25"/>
      <c r="G453" s="24"/>
    </row>
    <row r="454">
      <c r="C454" s="27"/>
      <c r="F454" s="25"/>
      <c r="G454" s="24"/>
    </row>
    <row r="455">
      <c r="C455" s="27"/>
      <c r="F455" s="25"/>
      <c r="G455" s="24"/>
    </row>
    <row r="456">
      <c r="C456" s="27"/>
      <c r="F456" s="25"/>
      <c r="G456" s="24"/>
    </row>
    <row r="457">
      <c r="C457" s="27"/>
      <c r="F457" s="25"/>
      <c r="G457" s="24"/>
    </row>
    <row r="458">
      <c r="C458" s="27"/>
      <c r="F458" s="25"/>
      <c r="G458" s="24"/>
    </row>
    <row r="459">
      <c r="C459" s="27"/>
      <c r="F459" s="25"/>
      <c r="G459" s="24"/>
    </row>
    <row r="460">
      <c r="C460" s="27"/>
      <c r="F460" s="25"/>
      <c r="G460" s="24"/>
    </row>
    <row r="461">
      <c r="C461" s="27"/>
      <c r="F461" s="25"/>
      <c r="G461" s="24"/>
    </row>
    <row r="462">
      <c r="C462" s="27"/>
      <c r="F462" s="25"/>
      <c r="G462" s="24"/>
    </row>
    <row r="463">
      <c r="C463" s="27"/>
      <c r="F463" s="25"/>
      <c r="G463" s="24"/>
    </row>
    <row r="464">
      <c r="C464" s="27"/>
      <c r="F464" s="25"/>
      <c r="G464" s="24"/>
    </row>
    <row r="465">
      <c r="C465" s="27"/>
      <c r="F465" s="25"/>
      <c r="G465" s="24"/>
    </row>
    <row r="466">
      <c r="C466" s="27"/>
      <c r="F466" s="25"/>
      <c r="G466" s="24"/>
    </row>
    <row r="467">
      <c r="C467" s="27"/>
      <c r="F467" s="25"/>
      <c r="G467" s="24"/>
    </row>
    <row r="468">
      <c r="C468" s="27"/>
      <c r="F468" s="25"/>
      <c r="G468" s="24"/>
    </row>
    <row r="469">
      <c r="C469" s="27"/>
      <c r="F469" s="25"/>
      <c r="G469" s="24"/>
    </row>
    <row r="470">
      <c r="C470" s="27"/>
      <c r="F470" s="25"/>
      <c r="G470" s="24"/>
    </row>
    <row r="471">
      <c r="C471" s="27"/>
      <c r="F471" s="25"/>
      <c r="G471" s="24"/>
    </row>
    <row r="472">
      <c r="C472" s="27"/>
      <c r="F472" s="25"/>
      <c r="G472" s="24"/>
    </row>
    <row r="473">
      <c r="C473" s="27"/>
      <c r="F473" s="25"/>
      <c r="G473" s="24"/>
    </row>
    <row r="474">
      <c r="C474" s="27"/>
      <c r="F474" s="25"/>
      <c r="G474" s="24"/>
    </row>
    <row r="475">
      <c r="C475" s="27"/>
      <c r="F475" s="25"/>
      <c r="G475" s="24"/>
    </row>
    <row r="476">
      <c r="C476" s="27"/>
      <c r="F476" s="25"/>
      <c r="G476" s="24"/>
    </row>
    <row r="477">
      <c r="C477" s="27"/>
      <c r="F477" s="25"/>
      <c r="G477" s="24"/>
    </row>
    <row r="478">
      <c r="C478" s="27"/>
      <c r="F478" s="25"/>
      <c r="G478" s="24"/>
    </row>
    <row r="479">
      <c r="C479" s="27"/>
      <c r="F479" s="25"/>
      <c r="G479" s="24"/>
    </row>
    <row r="480">
      <c r="C480" s="27"/>
      <c r="F480" s="25"/>
      <c r="G480" s="24"/>
    </row>
    <row r="481">
      <c r="C481" s="27"/>
      <c r="F481" s="25"/>
      <c r="G481" s="24"/>
    </row>
    <row r="482">
      <c r="C482" s="27"/>
      <c r="F482" s="25"/>
      <c r="G482" s="24"/>
    </row>
    <row r="483">
      <c r="C483" s="27"/>
      <c r="F483" s="25"/>
      <c r="G483" s="24"/>
    </row>
    <row r="484">
      <c r="C484" s="27"/>
      <c r="F484" s="25"/>
      <c r="G484" s="24"/>
    </row>
    <row r="485">
      <c r="C485" s="27"/>
      <c r="F485" s="25"/>
      <c r="G485" s="24"/>
    </row>
    <row r="486">
      <c r="C486" s="27"/>
      <c r="F486" s="25"/>
      <c r="G486" s="24"/>
    </row>
    <row r="487">
      <c r="C487" s="27"/>
      <c r="F487" s="25"/>
      <c r="G487" s="24"/>
    </row>
    <row r="488">
      <c r="C488" s="27"/>
      <c r="F488" s="25"/>
      <c r="G488" s="24"/>
    </row>
    <row r="489">
      <c r="C489" s="27"/>
      <c r="F489" s="25"/>
      <c r="G489" s="24"/>
    </row>
    <row r="490">
      <c r="C490" s="27"/>
      <c r="F490" s="25"/>
      <c r="G490" s="24"/>
    </row>
    <row r="491">
      <c r="C491" s="27"/>
      <c r="F491" s="25"/>
      <c r="G491" s="24"/>
    </row>
    <row r="492">
      <c r="C492" s="27"/>
      <c r="F492" s="25"/>
      <c r="G492" s="24"/>
    </row>
    <row r="493">
      <c r="C493" s="27"/>
      <c r="F493" s="25"/>
      <c r="G493" s="24"/>
    </row>
    <row r="494">
      <c r="C494" s="27"/>
      <c r="F494" s="25"/>
      <c r="G494" s="24"/>
    </row>
    <row r="495">
      <c r="C495" s="27"/>
      <c r="F495" s="25"/>
      <c r="G495" s="24"/>
    </row>
    <row r="496">
      <c r="C496" s="27"/>
      <c r="F496" s="25"/>
      <c r="G496" s="24"/>
    </row>
    <row r="497">
      <c r="C497" s="27"/>
      <c r="F497" s="25"/>
      <c r="G497" s="24"/>
    </row>
    <row r="498">
      <c r="C498" s="27"/>
      <c r="F498" s="25"/>
      <c r="G498" s="24"/>
    </row>
    <row r="499">
      <c r="C499" s="27"/>
      <c r="F499" s="25"/>
      <c r="G499" s="24"/>
    </row>
    <row r="500">
      <c r="C500" s="27"/>
      <c r="F500" s="25"/>
      <c r="G500" s="24"/>
    </row>
    <row r="501">
      <c r="C501" s="27"/>
      <c r="F501" s="25"/>
      <c r="G501" s="24"/>
    </row>
    <row r="502">
      <c r="C502" s="27"/>
      <c r="F502" s="25"/>
      <c r="G502" s="24"/>
    </row>
    <row r="503">
      <c r="C503" s="27"/>
      <c r="F503" s="25"/>
      <c r="G503" s="24"/>
    </row>
    <row r="504">
      <c r="C504" s="27"/>
      <c r="F504" s="25"/>
      <c r="G504" s="24"/>
    </row>
    <row r="505">
      <c r="C505" s="27"/>
      <c r="F505" s="25"/>
      <c r="G505" s="24"/>
    </row>
    <row r="506">
      <c r="C506" s="27"/>
      <c r="F506" s="25"/>
      <c r="G506" s="24"/>
    </row>
    <row r="507">
      <c r="C507" s="27"/>
      <c r="F507" s="25"/>
      <c r="G507" s="24"/>
    </row>
    <row r="508">
      <c r="C508" s="27"/>
      <c r="F508" s="25"/>
      <c r="G508" s="24"/>
    </row>
    <row r="509">
      <c r="C509" s="27"/>
      <c r="F509" s="25"/>
      <c r="G509" s="24"/>
    </row>
    <row r="510">
      <c r="C510" s="27"/>
      <c r="F510" s="25"/>
      <c r="G510" s="24"/>
    </row>
    <row r="511">
      <c r="C511" s="27"/>
      <c r="F511" s="25"/>
      <c r="G511" s="24"/>
    </row>
    <row r="512">
      <c r="C512" s="27"/>
      <c r="F512" s="25"/>
      <c r="G512" s="24"/>
    </row>
    <row r="513">
      <c r="C513" s="27"/>
      <c r="F513" s="25"/>
      <c r="G513" s="24"/>
    </row>
    <row r="514">
      <c r="C514" s="27"/>
      <c r="F514" s="25"/>
      <c r="G514" s="24"/>
    </row>
    <row r="515">
      <c r="C515" s="27"/>
      <c r="F515" s="25"/>
      <c r="G515" s="24"/>
    </row>
    <row r="516">
      <c r="C516" s="27"/>
      <c r="F516" s="25"/>
      <c r="G516" s="24"/>
    </row>
    <row r="517">
      <c r="C517" s="27"/>
      <c r="F517" s="25"/>
      <c r="G517" s="24"/>
    </row>
    <row r="518">
      <c r="C518" s="27"/>
      <c r="F518" s="25"/>
      <c r="G518" s="24"/>
    </row>
    <row r="519">
      <c r="C519" s="27"/>
      <c r="F519" s="25"/>
      <c r="G519" s="24"/>
    </row>
    <row r="520">
      <c r="C520" s="27"/>
      <c r="F520" s="25"/>
      <c r="G520" s="24"/>
    </row>
    <row r="521">
      <c r="C521" s="27"/>
      <c r="F521" s="25"/>
      <c r="G521" s="24"/>
    </row>
    <row r="522">
      <c r="C522" s="27"/>
      <c r="F522" s="25"/>
      <c r="G522" s="24"/>
    </row>
    <row r="523">
      <c r="C523" s="27"/>
      <c r="F523" s="25"/>
      <c r="G523" s="24"/>
    </row>
    <row r="524">
      <c r="C524" s="27"/>
      <c r="F524" s="25"/>
      <c r="G524" s="24"/>
    </row>
    <row r="525">
      <c r="C525" s="27"/>
      <c r="F525" s="25"/>
      <c r="G525" s="24"/>
    </row>
    <row r="526">
      <c r="C526" s="27"/>
      <c r="F526" s="25"/>
      <c r="G526" s="24"/>
    </row>
    <row r="527">
      <c r="C527" s="27"/>
      <c r="F527" s="25"/>
      <c r="G527" s="24"/>
    </row>
    <row r="528">
      <c r="C528" s="27"/>
      <c r="F528" s="25"/>
      <c r="G528" s="24"/>
    </row>
    <row r="529">
      <c r="C529" s="27"/>
      <c r="F529" s="25"/>
      <c r="G529" s="24"/>
    </row>
    <row r="530">
      <c r="C530" s="27"/>
      <c r="F530" s="25"/>
      <c r="G530" s="24"/>
    </row>
    <row r="531">
      <c r="C531" s="27"/>
      <c r="F531" s="25"/>
      <c r="G531" s="24"/>
    </row>
    <row r="532">
      <c r="C532" s="27"/>
      <c r="F532" s="25"/>
      <c r="G532" s="24"/>
    </row>
    <row r="533">
      <c r="C533" s="27"/>
      <c r="F533" s="25"/>
      <c r="G533" s="24"/>
    </row>
    <row r="534">
      <c r="C534" s="27"/>
      <c r="F534" s="25"/>
      <c r="G534" s="24"/>
    </row>
    <row r="535">
      <c r="C535" s="27"/>
      <c r="F535" s="25"/>
      <c r="G535" s="24"/>
    </row>
    <row r="536">
      <c r="C536" s="27"/>
      <c r="F536" s="25"/>
      <c r="G536" s="24"/>
    </row>
    <row r="537">
      <c r="C537" s="27"/>
      <c r="F537" s="25"/>
      <c r="G537" s="24"/>
    </row>
    <row r="538">
      <c r="C538" s="27"/>
      <c r="F538" s="25"/>
      <c r="G538" s="24"/>
    </row>
    <row r="539">
      <c r="C539" s="27"/>
      <c r="F539" s="25"/>
      <c r="G539" s="24"/>
    </row>
    <row r="540">
      <c r="C540" s="27"/>
      <c r="F540" s="25"/>
      <c r="G540" s="24"/>
    </row>
    <row r="541">
      <c r="C541" s="27"/>
      <c r="F541" s="25"/>
      <c r="G541" s="24"/>
    </row>
    <row r="542">
      <c r="C542" s="27"/>
      <c r="F542" s="25"/>
      <c r="G542" s="24"/>
    </row>
    <row r="543">
      <c r="C543" s="27"/>
      <c r="F543" s="25"/>
      <c r="G543" s="24"/>
    </row>
    <row r="544">
      <c r="C544" s="27"/>
      <c r="F544" s="25"/>
      <c r="G544" s="24"/>
    </row>
    <row r="545">
      <c r="C545" s="27"/>
      <c r="F545" s="25"/>
      <c r="G545" s="24"/>
    </row>
    <row r="546">
      <c r="C546" s="27"/>
      <c r="F546" s="25"/>
      <c r="G546" s="24"/>
    </row>
    <row r="547">
      <c r="C547" s="27"/>
      <c r="F547" s="25"/>
      <c r="G547" s="24"/>
    </row>
    <row r="548">
      <c r="C548" s="27"/>
      <c r="F548" s="25"/>
      <c r="G548" s="24"/>
    </row>
    <row r="549">
      <c r="C549" s="27"/>
      <c r="F549" s="25"/>
      <c r="G549" s="24"/>
    </row>
    <row r="550">
      <c r="C550" s="27"/>
      <c r="F550" s="25"/>
      <c r="G550" s="24"/>
    </row>
    <row r="551">
      <c r="C551" s="27"/>
      <c r="F551" s="25"/>
      <c r="G551" s="24"/>
    </row>
    <row r="552">
      <c r="C552" s="27"/>
      <c r="F552" s="25"/>
      <c r="G552" s="24"/>
    </row>
    <row r="553">
      <c r="C553" s="27"/>
      <c r="F553" s="25"/>
      <c r="G553" s="24"/>
    </row>
    <row r="554">
      <c r="C554" s="27"/>
      <c r="F554" s="25"/>
      <c r="G554" s="24"/>
    </row>
    <row r="555">
      <c r="C555" s="27"/>
      <c r="F555" s="25"/>
      <c r="G555" s="24"/>
    </row>
    <row r="556">
      <c r="C556" s="27"/>
      <c r="F556" s="25"/>
      <c r="G556" s="24"/>
    </row>
    <row r="557">
      <c r="C557" s="27"/>
      <c r="F557" s="25"/>
      <c r="G557" s="24"/>
    </row>
    <row r="558">
      <c r="C558" s="27"/>
      <c r="F558" s="25"/>
      <c r="G558" s="24"/>
    </row>
    <row r="559">
      <c r="C559" s="27"/>
      <c r="F559" s="25"/>
      <c r="G559" s="24"/>
    </row>
    <row r="560">
      <c r="C560" s="27"/>
      <c r="F560" s="25"/>
      <c r="G560" s="24"/>
    </row>
    <row r="561">
      <c r="C561" s="27"/>
      <c r="F561" s="25"/>
      <c r="G561" s="24"/>
    </row>
    <row r="562">
      <c r="C562" s="27"/>
      <c r="F562" s="25"/>
      <c r="G562" s="24"/>
    </row>
    <row r="563">
      <c r="C563" s="27"/>
      <c r="F563" s="25"/>
      <c r="G563" s="24"/>
    </row>
    <row r="564">
      <c r="C564" s="27"/>
      <c r="F564" s="25"/>
      <c r="G564" s="24"/>
    </row>
    <row r="565">
      <c r="C565" s="27"/>
      <c r="F565" s="25"/>
      <c r="G565" s="24"/>
    </row>
    <row r="566">
      <c r="C566" s="27"/>
      <c r="F566" s="25"/>
      <c r="G566" s="24"/>
    </row>
    <row r="567">
      <c r="C567" s="27"/>
      <c r="F567" s="25"/>
      <c r="G567" s="24"/>
    </row>
    <row r="568">
      <c r="C568" s="27"/>
      <c r="F568" s="25"/>
      <c r="G568" s="24"/>
    </row>
    <row r="569">
      <c r="C569" s="27"/>
      <c r="F569" s="25"/>
      <c r="G569" s="24"/>
    </row>
    <row r="570">
      <c r="C570" s="27"/>
      <c r="F570" s="25"/>
      <c r="G570" s="24"/>
    </row>
    <row r="571">
      <c r="C571" s="27"/>
      <c r="F571" s="25"/>
      <c r="G571" s="24"/>
    </row>
    <row r="572">
      <c r="C572" s="27"/>
      <c r="F572" s="25"/>
      <c r="G572" s="24"/>
    </row>
    <row r="573">
      <c r="C573" s="27"/>
      <c r="F573" s="25"/>
      <c r="G573" s="24"/>
    </row>
    <row r="574">
      <c r="C574" s="27"/>
      <c r="F574" s="25"/>
      <c r="G574" s="24"/>
    </row>
    <row r="575">
      <c r="C575" s="27"/>
      <c r="F575" s="25"/>
      <c r="G575" s="24"/>
    </row>
    <row r="576">
      <c r="C576" s="27"/>
      <c r="F576" s="25"/>
      <c r="G576" s="24"/>
    </row>
    <row r="577">
      <c r="C577" s="27"/>
      <c r="F577" s="25"/>
      <c r="G577" s="24"/>
    </row>
    <row r="578">
      <c r="C578" s="27"/>
      <c r="F578" s="25"/>
      <c r="G578" s="24"/>
    </row>
    <row r="579">
      <c r="C579" s="27"/>
      <c r="F579" s="25"/>
      <c r="G579" s="24"/>
    </row>
    <row r="580">
      <c r="C580" s="27"/>
      <c r="F580" s="25"/>
      <c r="G580" s="24"/>
    </row>
    <row r="581">
      <c r="C581" s="27"/>
      <c r="F581" s="25"/>
      <c r="G581" s="24"/>
    </row>
    <row r="582">
      <c r="C582" s="27"/>
      <c r="F582" s="25"/>
      <c r="G582" s="24"/>
    </row>
    <row r="583">
      <c r="C583" s="27"/>
      <c r="F583" s="25"/>
      <c r="G583" s="24"/>
    </row>
    <row r="584">
      <c r="C584" s="27"/>
      <c r="F584" s="25"/>
      <c r="G584" s="24"/>
    </row>
    <row r="585">
      <c r="C585" s="27"/>
      <c r="F585" s="25"/>
      <c r="G585" s="24"/>
    </row>
    <row r="586">
      <c r="C586" s="27"/>
      <c r="F586" s="25"/>
      <c r="G586" s="24"/>
    </row>
    <row r="587">
      <c r="C587" s="27"/>
      <c r="F587" s="25"/>
      <c r="G587" s="24"/>
    </row>
    <row r="588">
      <c r="C588" s="27"/>
      <c r="F588" s="25"/>
      <c r="G588" s="24"/>
    </row>
    <row r="589">
      <c r="C589" s="27"/>
      <c r="F589" s="25"/>
      <c r="G589" s="24"/>
    </row>
    <row r="590">
      <c r="C590" s="27"/>
      <c r="F590" s="25"/>
      <c r="G590" s="24"/>
    </row>
    <row r="591">
      <c r="C591" s="27"/>
      <c r="F591" s="25"/>
      <c r="G591" s="24"/>
    </row>
    <row r="592">
      <c r="C592" s="27"/>
      <c r="F592" s="25"/>
      <c r="G592" s="24"/>
    </row>
    <row r="593">
      <c r="C593" s="27"/>
      <c r="F593" s="25"/>
      <c r="G593" s="24"/>
    </row>
    <row r="594">
      <c r="C594" s="27"/>
      <c r="F594" s="25"/>
      <c r="G594" s="24"/>
    </row>
    <row r="595">
      <c r="C595" s="27"/>
      <c r="F595" s="25"/>
      <c r="G595" s="24"/>
    </row>
    <row r="596">
      <c r="C596" s="27"/>
      <c r="F596" s="25"/>
      <c r="G596" s="24"/>
    </row>
    <row r="597">
      <c r="C597" s="27"/>
      <c r="F597" s="25"/>
      <c r="G597" s="24"/>
    </row>
    <row r="598">
      <c r="C598" s="27"/>
      <c r="F598" s="25"/>
      <c r="G598" s="24"/>
    </row>
    <row r="599">
      <c r="C599" s="27"/>
      <c r="F599" s="25"/>
      <c r="G599" s="24"/>
    </row>
    <row r="600">
      <c r="C600" s="27"/>
      <c r="F600" s="25"/>
      <c r="G600" s="24"/>
    </row>
    <row r="601">
      <c r="C601" s="27"/>
      <c r="F601" s="25"/>
      <c r="G601" s="24"/>
    </row>
    <row r="602">
      <c r="C602" s="27"/>
      <c r="F602" s="25"/>
      <c r="G602" s="24"/>
    </row>
    <row r="603">
      <c r="C603" s="27"/>
      <c r="F603" s="25"/>
      <c r="G603" s="24"/>
    </row>
    <row r="604">
      <c r="C604" s="27"/>
      <c r="F604" s="25"/>
      <c r="G604" s="24"/>
    </row>
    <row r="605">
      <c r="C605" s="27"/>
      <c r="F605" s="25"/>
      <c r="G605" s="24"/>
    </row>
    <row r="606">
      <c r="C606" s="27"/>
      <c r="F606" s="25"/>
      <c r="G606" s="24"/>
    </row>
    <row r="607">
      <c r="C607" s="27"/>
      <c r="F607" s="25"/>
      <c r="G607" s="24"/>
    </row>
    <row r="608">
      <c r="C608" s="27"/>
      <c r="F608" s="25"/>
      <c r="G608" s="24"/>
    </row>
    <row r="609">
      <c r="C609" s="27"/>
      <c r="F609" s="25"/>
      <c r="G609" s="24"/>
    </row>
    <row r="610">
      <c r="C610" s="27"/>
      <c r="F610" s="25"/>
      <c r="G610" s="24"/>
    </row>
    <row r="611">
      <c r="C611" s="27"/>
      <c r="F611" s="25"/>
      <c r="G611" s="24"/>
    </row>
    <row r="612">
      <c r="C612" s="27"/>
      <c r="F612" s="25"/>
      <c r="G612" s="24"/>
    </row>
    <row r="613">
      <c r="C613" s="27"/>
      <c r="F613" s="25"/>
      <c r="G613" s="24"/>
    </row>
    <row r="614">
      <c r="C614" s="27"/>
      <c r="F614" s="25"/>
      <c r="G614" s="24"/>
    </row>
    <row r="615">
      <c r="C615" s="27"/>
      <c r="F615" s="25"/>
      <c r="G615" s="24"/>
    </row>
    <row r="616">
      <c r="C616" s="27"/>
      <c r="F616" s="25"/>
      <c r="G616" s="24"/>
    </row>
    <row r="617">
      <c r="C617" s="27"/>
      <c r="F617" s="25"/>
      <c r="G617" s="24"/>
    </row>
    <row r="618">
      <c r="C618" s="27"/>
      <c r="F618" s="25"/>
      <c r="G618" s="24"/>
    </row>
    <row r="619">
      <c r="C619" s="27"/>
      <c r="F619" s="25"/>
      <c r="G619" s="24"/>
    </row>
    <row r="620">
      <c r="C620" s="27"/>
      <c r="F620" s="25"/>
      <c r="G620" s="24"/>
    </row>
    <row r="621">
      <c r="C621" s="27"/>
      <c r="F621" s="25"/>
      <c r="G621" s="24"/>
    </row>
    <row r="622">
      <c r="C622" s="27"/>
      <c r="F622" s="25"/>
      <c r="G622" s="24"/>
    </row>
    <row r="623">
      <c r="C623" s="27"/>
      <c r="F623" s="25"/>
      <c r="G623" s="24"/>
    </row>
    <row r="624">
      <c r="C624" s="27"/>
      <c r="F624" s="25"/>
      <c r="G624" s="24"/>
    </row>
    <row r="625">
      <c r="C625" s="27"/>
      <c r="F625" s="25"/>
      <c r="G625" s="24"/>
    </row>
    <row r="626">
      <c r="C626" s="27"/>
      <c r="F626" s="25"/>
      <c r="G626" s="24"/>
    </row>
    <row r="627">
      <c r="C627" s="27"/>
      <c r="F627" s="25"/>
      <c r="G627" s="24"/>
    </row>
    <row r="628">
      <c r="C628" s="27"/>
      <c r="F628" s="25"/>
      <c r="G628" s="24"/>
    </row>
    <row r="629">
      <c r="C629" s="27"/>
      <c r="F629" s="25"/>
      <c r="G629" s="24"/>
    </row>
    <row r="630">
      <c r="C630" s="27"/>
      <c r="F630" s="25"/>
      <c r="G630" s="24"/>
    </row>
    <row r="631">
      <c r="C631" s="27"/>
      <c r="F631" s="25"/>
      <c r="G631" s="24"/>
    </row>
    <row r="632">
      <c r="C632" s="27"/>
      <c r="F632" s="25"/>
      <c r="G632" s="24"/>
    </row>
    <row r="633">
      <c r="C633" s="27"/>
      <c r="F633" s="25"/>
      <c r="G633" s="24"/>
    </row>
    <row r="634">
      <c r="C634" s="27"/>
      <c r="F634" s="25"/>
      <c r="G634" s="24"/>
    </row>
    <row r="635">
      <c r="C635" s="27"/>
      <c r="F635" s="25"/>
      <c r="G635" s="24"/>
    </row>
    <row r="636">
      <c r="C636" s="27"/>
      <c r="F636" s="25"/>
      <c r="G636" s="24"/>
    </row>
    <row r="637">
      <c r="C637" s="27"/>
      <c r="F637" s="25"/>
      <c r="G637" s="24"/>
    </row>
    <row r="638">
      <c r="C638" s="27"/>
      <c r="F638" s="25"/>
      <c r="G638" s="24"/>
    </row>
    <row r="639">
      <c r="C639" s="27"/>
      <c r="F639" s="25"/>
      <c r="G639" s="24"/>
    </row>
    <row r="640">
      <c r="C640" s="27"/>
      <c r="F640" s="25"/>
      <c r="G640" s="24"/>
    </row>
    <row r="641">
      <c r="C641" s="27"/>
      <c r="F641" s="25"/>
      <c r="G641" s="24"/>
    </row>
    <row r="642">
      <c r="C642" s="27"/>
      <c r="F642" s="25"/>
      <c r="G642" s="24"/>
    </row>
    <row r="643">
      <c r="C643" s="27"/>
      <c r="F643" s="25"/>
      <c r="G643" s="24"/>
    </row>
    <row r="644">
      <c r="C644" s="27"/>
      <c r="F644" s="25"/>
      <c r="G644" s="24"/>
    </row>
    <row r="645">
      <c r="C645" s="27"/>
      <c r="F645" s="25"/>
      <c r="G645" s="24"/>
    </row>
    <row r="646">
      <c r="C646" s="27"/>
      <c r="F646" s="25"/>
      <c r="G646" s="24"/>
    </row>
    <row r="647">
      <c r="C647" s="27"/>
      <c r="F647" s="25"/>
      <c r="G647" s="24"/>
    </row>
    <row r="648">
      <c r="C648" s="27"/>
      <c r="F648" s="25"/>
      <c r="G648" s="24"/>
    </row>
    <row r="649">
      <c r="C649" s="27"/>
      <c r="F649" s="25"/>
      <c r="G649" s="24"/>
    </row>
    <row r="650">
      <c r="C650" s="27"/>
      <c r="F650" s="25"/>
      <c r="G650" s="24"/>
    </row>
    <row r="651">
      <c r="C651" s="27"/>
      <c r="F651" s="25"/>
      <c r="G651" s="24"/>
    </row>
    <row r="652">
      <c r="C652" s="27"/>
      <c r="F652" s="25"/>
      <c r="G652" s="24"/>
    </row>
    <row r="653">
      <c r="C653" s="27"/>
      <c r="F653" s="25"/>
      <c r="G653" s="24"/>
    </row>
    <row r="654">
      <c r="C654" s="27"/>
      <c r="F654" s="25"/>
      <c r="G654" s="24"/>
    </row>
    <row r="655">
      <c r="C655" s="27"/>
      <c r="F655" s="25"/>
      <c r="G655" s="24"/>
    </row>
    <row r="656">
      <c r="C656" s="27"/>
      <c r="F656" s="25"/>
      <c r="G656" s="24"/>
    </row>
    <row r="657">
      <c r="C657" s="27"/>
      <c r="F657" s="25"/>
      <c r="G657" s="24"/>
    </row>
    <row r="658">
      <c r="C658" s="27"/>
      <c r="F658" s="25"/>
      <c r="G658" s="24"/>
    </row>
    <row r="659">
      <c r="C659" s="27"/>
      <c r="F659" s="25"/>
      <c r="G659" s="24"/>
    </row>
    <row r="660">
      <c r="C660" s="27"/>
      <c r="F660" s="25"/>
      <c r="G660" s="24"/>
    </row>
    <row r="661">
      <c r="C661" s="27"/>
      <c r="F661" s="25"/>
      <c r="G661" s="24"/>
    </row>
    <row r="662">
      <c r="C662" s="27"/>
      <c r="F662" s="25"/>
      <c r="G662" s="24"/>
    </row>
    <row r="663">
      <c r="C663" s="27"/>
      <c r="F663" s="25"/>
      <c r="G663" s="24"/>
    </row>
    <row r="664">
      <c r="C664" s="27"/>
      <c r="F664" s="25"/>
      <c r="G664" s="24"/>
    </row>
    <row r="665">
      <c r="C665" s="27"/>
      <c r="F665" s="25"/>
      <c r="G665" s="24"/>
    </row>
    <row r="666">
      <c r="C666" s="27"/>
      <c r="F666" s="25"/>
      <c r="G666" s="24"/>
    </row>
    <row r="667">
      <c r="C667" s="27"/>
      <c r="F667" s="25"/>
      <c r="G667" s="24"/>
    </row>
    <row r="668">
      <c r="C668" s="27"/>
      <c r="F668" s="25"/>
      <c r="G668" s="24"/>
    </row>
    <row r="669">
      <c r="C669" s="27"/>
      <c r="F669" s="25"/>
      <c r="G669" s="24"/>
    </row>
    <row r="670">
      <c r="C670" s="27"/>
      <c r="F670" s="25"/>
      <c r="G670" s="24"/>
    </row>
    <row r="671">
      <c r="C671" s="27"/>
      <c r="F671" s="25"/>
      <c r="G671" s="24"/>
    </row>
    <row r="672">
      <c r="C672" s="27"/>
      <c r="F672" s="25"/>
      <c r="G672" s="24"/>
    </row>
    <row r="673">
      <c r="C673" s="27"/>
      <c r="F673" s="25"/>
      <c r="G673" s="24"/>
    </row>
    <row r="674">
      <c r="C674" s="27"/>
      <c r="F674" s="25"/>
      <c r="G674" s="24"/>
    </row>
    <row r="675">
      <c r="C675" s="27"/>
      <c r="F675" s="25"/>
      <c r="G675" s="24"/>
    </row>
    <row r="676">
      <c r="C676" s="27"/>
      <c r="F676" s="25"/>
      <c r="G676" s="24"/>
    </row>
    <row r="677">
      <c r="C677" s="27"/>
      <c r="F677" s="25"/>
      <c r="G677" s="24"/>
    </row>
    <row r="678">
      <c r="C678" s="27"/>
      <c r="F678" s="25"/>
      <c r="G678" s="24"/>
    </row>
    <row r="679">
      <c r="C679" s="27"/>
      <c r="F679" s="25"/>
      <c r="G679" s="24"/>
    </row>
    <row r="680">
      <c r="C680" s="27"/>
      <c r="F680" s="25"/>
      <c r="G680" s="24"/>
    </row>
    <row r="681">
      <c r="C681" s="27"/>
      <c r="F681" s="25"/>
      <c r="G681" s="24"/>
    </row>
    <row r="682">
      <c r="C682" s="27"/>
      <c r="F682" s="25"/>
      <c r="G682" s="24"/>
    </row>
    <row r="683">
      <c r="C683" s="27"/>
      <c r="F683" s="25"/>
      <c r="G683" s="24"/>
    </row>
    <row r="684">
      <c r="C684" s="27"/>
      <c r="F684" s="25"/>
      <c r="G684" s="24"/>
    </row>
    <row r="685">
      <c r="C685" s="27"/>
      <c r="F685" s="25"/>
      <c r="G685" s="24"/>
    </row>
    <row r="686">
      <c r="C686" s="27"/>
      <c r="F686" s="25"/>
      <c r="G686" s="24"/>
    </row>
    <row r="687">
      <c r="C687" s="27"/>
      <c r="F687" s="25"/>
      <c r="G687" s="24"/>
    </row>
    <row r="688">
      <c r="C688" s="27"/>
      <c r="F688" s="25"/>
      <c r="G688" s="24"/>
    </row>
    <row r="689">
      <c r="C689" s="27"/>
      <c r="F689" s="25"/>
      <c r="G689" s="24"/>
    </row>
    <row r="690">
      <c r="C690" s="27"/>
      <c r="F690" s="25"/>
      <c r="G690" s="24"/>
    </row>
    <row r="691">
      <c r="C691" s="27"/>
      <c r="F691" s="25"/>
      <c r="G691" s="24"/>
    </row>
    <row r="692">
      <c r="C692" s="27"/>
      <c r="F692" s="25"/>
      <c r="G692" s="24"/>
    </row>
    <row r="693">
      <c r="C693" s="27"/>
      <c r="F693" s="25"/>
      <c r="G693" s="24"/>
    </row>
    <row r="694">
      <c r="C694" s="27"/>
      <c r="F694" s="25"/>
      <c r="G694" s="24"/>
    </row>
    <row r="695">
      <c r="C695" s="27"/>
      <c r="F695" s="25"/>
      <c r="G695" s="24"/>
    </row>
    <row r="696">
      <c r="C696" s="27"/>
      <c r="F696" s="25"/>
      <c r="G696" s="24"/>
    </row>
    <row r="697">
      <c r="C697" s="27"/>
      <c r="F697" s="25"/>
      <c r="G697" s="24"/>
    </row>
    <row r="698">
      <c r="C698" s="27"/>
      <c r="F698" s="25"/>
      <c r="G698" s="24"/>
    </row>
    <row r="699">
      <c r="C699" s="27"/>
      <c r="F699" s="25"/>
      <c r="G699" s="24"/>
    </row>
    <row r="700">
      <c r="C700" s="27"/>
      <c r="F700" s="25"/>
      <c r="G700" s="24"/>
    </row>
    <row r="701">
      <c r="C701" s="27"/>
      <c r="F701" s="25"/>
      <c r="G701" s="24"/>
    </row>
    <row r="702">
      <c r="C702" s="27"/>
      <c r="F702" s="25"/>
      <c r="G702" s="24"/>
    </row>
    <row r="703">
      <c r="C703" s="27"/>
      <c r="F703" s="25"/>
      <c r="G703" s="24"/>
    </row>
    <row r="704">
      <c r="C704" s="27"/>
      <c r="F704" s="25"/>
      <c r="G704" s="24"/>
    </row>
    <row r="705">
      <c r="C705" s="27"/>
      <c r="F705" s="25"/>
      <c r="G705" s="24"/>
    </row>
    <row r="706">
      <c r="C706" s="27"/>
      <c r="F706" s="25"/>
      <c r="G706" s="24"/>
    </row>
    <row r="707">
      <c r="C707" s="27"/>
      <c r="F707" s="25"/>
      <c r="G707" s="24"/>
    </row>
    <row r="708">
      <c r="C708" s="27"/>
      <c r="F708" s="25"/>
      <c r="G708" s="24"/>
    </row>
    <row r="709">
      <c r="C709" s="27"/>
      <c r="F709" s="25"/>
      <c r="G709" s="24"/>
    </row>
    <row r="710">
      <c r="C710" s="27"/>
      <c r="F710" s="25"/>
      <c r="G710" s="24"/>
    </row>
    <row r="711">
      <c r="C711" s="27"/>
      <c r="F711" s="25"/>
      <c r="G711" s="24"/>
    </row>
    <row r="712">
      <c r="C712" s="27"/>
      <c r="F712" s="25"/>
      <c r="G712" s="24"/>
    </row>
    <row r="713">
      <c r="C713" s="27"/>
      <c r="F713" s="25"/>
      <c r="G713" s="24"/>
    </row>
    <row r="714">
      <c r="C714" s="27"/>
      <c r="F714" s="25"/>
      <c r="G714" s="24"/>
    </row>
    <row r="715">
      <c r="C715" s="27"/>
      <c r="F715" s="25"/>
      <c r="G715" s="24"/>
    </row>
    <row r="716">
      <c r="C716" s="27"/>
      <c r="F716" s="25"/>
      <c r="G716" s="24"/>
    </row>
    <row r="717">
      <c r="C717" s="27"/>
      <c r="F717" s="25"/>
      <c r="G717" s="24"/>
    </row>
    <row r="718">
      <c r="C718" s="27"/>
      <c r="F718" s="25"/>
      <c r="G718" s="24"/>
    </row>
    <row r="719">
      <c r="C719" s="27"/>
      <c r="F719" s="25"/>
      <c r="G719" s="24"/>
    </row>
    <row r="720">
      <c r="C720" s="27"/>
      <c r="F720" s="25"/>
      <c r="G720" s="24"/>
    </row>
    <row r="721">
      <c r="C721" s="27"/>
      <c r="F721" s="25"/>
      <c r="G721" s="24"/>
    </row>
    <row r="722">
      <c r="C722" s="27"/>
      <c r="F722" s="25"/>
      <c r="G722" s="24"/>
    </row>
    <row r="723">
      <c r="C723" s="27"/>
      <c r="F723" s="25"/>
      <c r="G723" s="24"/>
    </row>
    <row r="724">
      <c r="C724" s="27"/>
      <c r="F724" s="25"/>
      <c r="G724" s="24"/>
    </row>
    <row r="725">
      <c r="C725" s="27"/>
      <c r="F725" s="25"/>
      <c r="G725" s="24"/>
    </row>
    <row r="726">
      <c r="C726" s="27"/>
      <c r="F726" s="25"/>
      <c r="G726" s="24"/>
    </row>
    <row r="727">
      <c r="C727" s="27"/>
      <c r="F727" s="25"/>
      <c r="G727" s="24"/>
    </row>
    <row r="728">
      <c r="C728" s="27"/>
      <c r="F728" s="25"/>
      <c r="G728" s="24"/>
    </row>
    <row r="729">
      <c r="C729" s="27"/>
      <c r="F729" s="25"/>
      <c r="G729" s="24"/>
    </row>
    <row r="730">
      <c r="C730" s="27"/>
      <c r="F730" s="25"/>
      <c r="G730" s="24"/>
    </row>
    <row r="731">
      <c r="C731" s="27"/>
      <c r="F731" s="25"/>
      <c r="G731" s="24"/>
    </row>
    <row r="732">
      <c r="C732" s="27"/>
      <c r="F732" s="25"/>
      <c r="G732" s="24"/>
    </row>
    <row r="733">
      <c r="C733" s="27"/>
      <c r="F733" s="25"/>
      <c r="G733" s="24"/>
    </row>
    <row r="734">
      <c r="C734" s="27"/>
      <c r="F734" s="25"/>
      <c r="G734" s="24"/>
    </row>
    <row r="735">
      <c r="C735" s="27"/>
      <c r="F735" s="25"/>
      <c r="G735" s="24"/>
    </row>
    <row r="736">
      <c r="C736" s="27"/>
      <c r="F736" s="25"/>
      <c r="G736" s="24"/>
    </row>
    <row r="737">
      <c r="C737" s="27"/>
      <c r="F737" s="25"/>
      <c r="G737" s="24"/>
    </row>
    <row r="738">
      <c r="C738" s="27"/>
      <c r="F738" s="25"/>
      <c r="G738" s="24"/>
    </row>
    <row r="739">
      <c r="C739" s="27"/>
      <c r="F739" s="25"/>
      <c r="G739" s="24"/>
    </row>
    <row r="740">
      <c r="C740" s="27"/>
      <c r="F740" s="25"/>
      <c r="G740" s="24"/>
    </row>
    <row r="741">
      <c r="C741" s="27"/>
      <c r="F741" s="25"/>
      <c r="G741" s="24"/>
    </row>
    <row r="742">
      <c r="C742" s="27"/>
      <c r="F742" s="25"/>
      <c r="G742" s="24"/>
    </row>
    <row r="743">
      <c r="C743" s="27"/>
      <c r="F743" s="25"/>
      <c r="G743" s="24"/>
    </row>
    <row r="744">
      <c r="C744" s="27"/>
      <c r="F744" s="25"/>
      <c r="G744" s="24"/>
    </row>
    <row r="745">
      <c r="C745" s="27"/>
      <c r="F745" s="25"/>
      <c r="G745" s="24"/>
    </row>
    <row r="746">
      <c r="C746" s="27"/>
      <c r="F746" s="25"/>
      <c r="G746" s="24"/>
    </row>
    <row r="747">
      <c r="C747" s="27"/>
      <c r="F747" s="25"/>
      <c r="G747" s="24"/>
    </row>
    <row r="748">
      <c r="C748" s="27"/>
      <c r="F748" s="25"/>
      <c r="G748" s="24"/>
    </row>
    <row r="749">
      <c r="C749" s="27"/>
      <c r="F749" s="25"/>
      <c r="G749" s="24"/>
    </row>
    <row r="750">
      <c r="C750" s="27"/>
      <c r="F750" s="25"/>
      <c r="G750" s="24"/>
    </row>
    <row r="751">
      <c r="C751" s="27"/>
      <c r="F751" s="25"/>
      <c r="G751" s="24"/>
    </row>
    <row r="752">
      <c r="C752" s="27"/>
      <c r="F752" s="25"/>
      <c r="G752" s="24"/>
    </row>
    <row r="753">
      <c r="C753" s="27"/>
      <c r="F753" s="25"/>
      <c r="G753" s="24"/>
    </row>
    <row r="754">
      <c r="C754" s="27"/>
      <c r="F754" s="25"/>
      <c r="G754" s="24"/>
    </row>
    <row r="755">
      <c r="C755" s="27"/>
      <c r="F755" s="25"/>
      <c r="G755" s="24"/>
    </row>
    <row r="756">
      <c r="C756" s="27"/>
      <c r="F756" s="25"/>
      <c r="G756" s="24"/>
    </row>
    <row r="757">
      <c r="C757" s="27"/>
      <c r="F757" s="25"/>
      <c r="G757" s="24"/>
    </row>
    <row r="758">
      <c r="C758" s="27"/>
      <c r="F758" s="25"/>
      <c r="G758" s="24"/>
    </row>
    <row r="759">
      <c r="C759" s="27"/>
      <c r="F759" s="25"/>
      <c r="G759" s="24"/>
    </row>
    <row r="760">
      <c r="C760" s="27"/>
      <c r="F760" s="25"/>
      <c r="G760" s="24"/>
    </row>
    <row r="761">
      <c r="C761" s="27"/>
      <c r="F761" s="25"/>
      <c r="G761" s="24"/>
    </row>
    <row r="762">
      <c r="C762" s="27"/>
      <c r="F762" s="25"/>
      <c r="G762" s="24"/>
    </row>
    <row r="763">
      <c r="C763" s="27"/>
      <c r="F763" s="25"/>
      <c r="G763" s="24"/>
    </row>
    <row r="764">
      <c r="C764" s="27"/>
      <c r="F764" s="25"/>
      <c r="G764" s="24"/>
    </row>
    <row r="765">
      <c r="C765" s="27"/>
      <c r="F765" s="25"/>
      <c r="G765" s="24"/>
    </row>
    <row r="766">
      <c r="C766" s="27"/>
      <c r="F766" s="25"/>
      <c r="G766" s="24"/>
    </row>
    <row r="767">
      <c r="C767" s="27"/>
      <c r="F767" s="25"/>
      <c r="G767" s="24"/>
    </row>
    <row r="768">
      <c r="C768" s="27"/>
      <c r="F768" s="25"/>
      <c r="G768" s="24"/>
    </row>
    <row r="769">
      <c r="C769" s="27"/>
      <c r="F769" s="25"/>
      <c r="G769" s="24"/>
    </row>
    <row r="770">
      <c r="C770" s="27"/>
      <c r="F770" s="25"/>
      <c r="G770" s="24"/>
    </row>
    <row r="771">
      <c r="C771" s="27"/>
      <c r="F771" s="25"/>
      <c r="G771" s="24"/>
    </row>
    <row r="772">
      <c r="C772" s="27"/>
      <c r="F772" s="25"/>
      <c r="G772" s="24"/>
    </row>
    <row r="773">
      <c r="C773" s="27"/>
      <c r="F773" s="25"/>
      <c r="G773" s="24"/>
    </row>
    <row r="774">
      <c r="C774" s="27"/>
      <c r="F774" s="25"/>
      <c r="G774" s="24"/>
    </row>
    <row r="775">
      <c r="C775" s="27"/>
      <c r="F775" s="25"/>
      <c r="G775" s="24"/>
    </row>
    <row r="776">
      <c r="C776" s="27"/>
      <c r="F776" s="25"/>
      <c r="G776" s="24"/>
    </row>
    <row r="777">
      <c r="C777" s="27"/>
      <c r="F777" s="25"/>
      <c r="G777" s="24"/>
    </row>
    <row r="778">
      <c r="C778" s="27"/>
      <c r="F778" s="25"/>
      <c r="G778" s="24"/>
    </row>
    <row r="779">
      <c r="C779" s="27"/>
      <c r="F779" s="25"/>
      <c r="G779" s="24"/>
    </row>
    <row r="780">
      <c r="C780" s="27"/>
      <c r="F780" s="25"/>
      <c r="G780" s="24"/>
    </row>
    <row r="781">
      <c r="C781" s="27"/>
      <c r="F781" s="25"/>
      <c r="G781" s="24"/>
    </row>
    <row r="782">
      <c r="C782" s="27"/>
      <c r="F782" s="25"/>
      <c r="G782" s="24"/>
    </row>
    <row r="783">
      <c r="C783" s="27"/>
      <c r="F783" s="25"/>
      <c r="G783" s="24"/>
    </row>
    <row r="784">
      <c r="C784" s="27"/>
      <c r="F784" s="25"/>
      <c r="G784" s="24"/>
    </row>
    <row r="785">
      <c r="C785" s="27"/>
      <c r="F785" s="25"/>
      <c r="G785" s="24"/>
    </row>
    <row r="786">
      <c r="C786" s="27"/>
      <c r="F786" s="25"/>
      <c r="G786" s="24"/>
    </row>
    <row r="787">
      <c r="C787" s="27"/>
      <c r="F787" s="25"/>
      <c r="G787" s="24"/>
    </row>
    <row r="788">
      <c r="C788" s="27"/>
      <c r="F788" s="25"/>
      <c r="G788" s="24"/>
    </row>
    <row r="789">
      <c r="C789" s="27"/>
      <c r="F789" s="25"/>
      <c r="G789" s="24"/>
    </row>
    <row r="790">
      <c r="C790" s="27"/>
      <c r="F790" s="25"/>
      <c r="G790" s="24"/>
    </row>
    <row r="791">
      <c r="C791" s="27"/>
      <c r="F791" s="25"/>
      <c r="G791" s="24"/>
    </row>
    <row r="792">
      <c r="C792" s="27"/>
      <c r="F792" s="25"/>
      <c r="G792" s="24"/>
    </row>
    <row r="793">
      <c r="C793" s="27"/>
      <c r="F793" s="25"/>
      <c r="G793" s="24"/>
    </row>
    <row r="794">
      <c r="C794" s="27"/>
      <c r="F794" s="25"/>
      <c r="G794" s="24"/>
    </row>
    <row r="795">
      <c r="C795" s="27"/>
      <c r="F795" s="25"/>
      <c r="G795" s="24"/>
    </row>
    <row r="796">
      <c r="C796" s="27"/>
      <c r="F796" s="25"/>
      <c r="G796" s="24"/>
    </row>
    <row r="797">
      <c r="C797" s="27"/>
      <c r="F797" s="25"/>
      <c r="G797" s="24"/>
    </row>
    <row r="798">
      <c r="C798" s="27"/>
      <c r="F798" s="25"/>
      <c r="G798" s="24"/>
    </row>
    <row r="799">
      <c r="C799" s="27"/>
      <c r="F799" s="25"/>
      <c r="G799" s="24"/>
    </row>
    <row r="800">
      <c r="C800" s="27"/>
      <c r="F800" s="25"/>
      <c r="G800" s="24"/>
    </row>
    <row r="801">
      <c r="C801" s="27"/>
      <c r="F801" s="25"/>
      <c r="G801" s="24"/>
    </row>
    <row r="802">
      <c r="C802" s="27"/>
      <c r="F802" s="25"/>
      <c r="G802" s="24"/>
    </row>
    <row r="803">
      <c r="C803" s="27"/>
      <c r="F803" s="25"/>
      <c r="G803" s="24"/>
    </row>
    <row r="804">
      <c r="C804" s="27"/>
      <c r="F804" s="25"/>
      <c r="G804" s="24"/>
    </row>
    <row r="805">
      <c r="C805" s="27"/>
      <c r="F805" s="25"/>
      <c r="G805" s="24"/>
    </row>
    <row r="806">
      <c r="C806" s="27"/>
      <c r="F806" s="25"/>
      <c r="G806" s="24"/>
    </row>
    <row r="807">
      <c r="C807" s="27"/>
      <c r="F807" s="25"/>
      <c r="G807" s="24"/>
    </row>
    <row r="808">
      <c r="C808" s="27"/>
      <c r="F808" s="25"/>
      <c r="G808" s="24"/>
    </row>
    <row r="809">
      <c r="C809" s="27"/>
      <c r="F809" s="25"/>
      <c r="G809" s="24"/>
    </row>
    <row r="810">
      <c r="C810" s="27"/>
      <c r="F810" s="25"/>
      <c r="G810" s="24"/>
    </row>
    <row r="811">
      <c r="C811" s="27"/>
      <c r="F811" s="25"/>
      <c r="G811" s="24"/>
    </row>
    <row r="812">
      <c r="C812" s="27"/>
      <c r="F812" s="25"/>
      <c r="G812" s="24"/>
    </row>
    <row r="813">
      <c r="C813" s="27"/>
      <c r="F813" s="25"/>
      <c r="G813" s="24"/>
    </row>
    <row r="814">
      <c r="C814" s="27"/>
      <c r="F814" s="25"/>
      <c r="G814" s="24"/>
    </row>
    <row r="815">
      <c r="C815" s="27"/>
      <c r="F815" s="25"/>
      <c r="G815" s="24"/>
    </row>
    <row r="816">
      <c r="C816" s="27"/>
      <c r="F816" s="25"/>
      <c r="G816" s="24"/>
    </row>
    <row r="817">
      <c r="C817" s="27"/>
      <c r="F817" s="25"/>
      <c r="G817" s="24"/>
    </row>
    <row r="818">
      <c r="C818" s="27"/>
      <c r="F818" s="25"/>
      <c r="G818" s="24"/>
    </row>
    <row r="819">
      <c r="C819" s="27"/>
      <c r="F819" s="25"/>
      <c r="G819" s="24"/>
    </row>
    <row r="820">
      <c r="C820" s="27"/>
      <c r="F820" s="25"/>
      <c r="G820" s="24"/>
    </row>
    <row r="821">
      <c r="C821" s="27"/>
      <c r="F821" s="25"/>
      <c r="G821" s="24"/>
    </row>
    <row r="822">
      <c r="C822" s="27"/>
      <c r="F822" s="25"/>
      <c r="G822" s="24"/>
    </row>
    <row r="823">
      <c r="C823" s="27"/>
      <c r="F823" s="25"/>
      <c r="G823" s="24"/>
    </row>
    <row r="824">
      <c r="C824" s="27"/>
      <c r="F824" s="25"/>
      <c r="G824" s="24"/>
    </row>
    <row r="825">
      <c r="C825" s="27"/>
      <c r="F825" s="25"/>
      <c r="G825" s="24"/>
    </row>
    <row r="826">
      <c r="C826" s="27"/>
      <c r="F826" s="25"/>
      <c r="G826" s="24"/>
    </row>
    <row r="827">
      <c r="C827" s="27"/>
      <c r="F827" s="25"/>
      <c r="G827" s="24"/>
    </row>
    <row r="828">
      <c r="C828" s="27"/>
      <c r="F828" s="25"/>
      <c r="G828" s="24"/>
    </row>
    <row r="829">
      <c r="C829" s="27"/>
      <c r="F829" s="25"/>
      <c r="G829" s="24"/>
    </row>
    <row r="830">
      <c r="C830" s="27"/>
      <c r="F830" s="25"/>
      <c r="G830" s="24"/>
    </row>
    <row r="831">
      <c r="C831" s="27"/>
      <c r="F831" s="25"/>
      <c r="G831" s="24"/>
    </row>
    <row r="832">
      <c r="C832" s="27"/>
      <c r="F832" s="25"/>
      <c r="G832" s="24"/>
    </row>
    <row r="833">
      <c r="C833" s="27"/>
      <c r="F833" s="25"/>
      <c r="G833" s="24"/>
    </row>
    <row r="834">
      <c r="C834" s="27"/>
      <c r="F834" s="25"/>
      <c r="G834" s="24"/>
    </row>
    <row r="835">
      <c r="C835" s="27"/>
      <c r="F835" s="25"/>
      <c r="G835" s="24"/>
    </row>
    <row r="836">
      <c r="C836" s="27"/>
      <c r="F836" s="25"/>
      <c r="G836" s="24"/>
    </row>
    <row r="837">
      <c r="C837" s="27"/>
      <c r="F837" s="25"/>
      <c r="G837" s="24"/>
    </row>
    <row r="838">
      <c r="C838" s="27"/>
      <c r="F838" s="25"/>
      <c r="G838" s="24"/>
    </row>
    <row r="839">
      <c r="C839" s="27"/>
      <c r="F839" s="25"/>
      <c r="G839" s="24"/>
    </row>
    <row r="840">
      <c r="C840" s="27"/>
      <c r="F840" s="25"/>
      <c r="G840" s="24"/>
    </row>
    <row r="841">
      <c r="C841" s="27"/>
      <c r="F841" s="25"/>
      <c r="G841" s="24"/>
    </row>
    <row r="842">
      <c r="C842" s="27"/>
      <c r="F842" s="25"/>
      <c r="G842" s="24"/>
    </row>
    <row r="843">
      <c r="C843" s="27"/>
      <c r="F843" s="25"/>
      <c r="G843" s="24"/>
    </row>
    <row r="844">
      <c r="C844" s="27"/>
      <c r="F844" s="25"/>
      <c r="G844" s="24"/>
    </row>
    <row r="845">
      <c r="C845" s="27"/>
      <c r="F845" s="25"/>
      <c r="G845" s="24"/>
    </row>
    <row r="846">
      <c r="C846" s="27"/>
      <c r="F846" s="25"/>
      <c r="G846" s="24"/>
    </row>
    <row r="847">
      <c r="C847" s="27"/>
      <c r="F847" s="25"/>
      <c r="G847" s="24"/>
    </row>
    <row r="848">
      <c r="C848" s="27"/>
      <c r="F848" s="25"/>
      <c r="G848" s="24"/>
    </row>
    <row r="849">
      <c r="C849" s="27"/>
      <c r="F849" s="25"/>
      <c r="G849" s="24"/>
    </row>
    <row r="850">
      <c r="C850" s="27"/>
      <c r="F850" s="25"/>
      <c r="G850" s="24"/>
    </row>
    <row r="851">
      <c r="C851" s="27"/>
      <c r="F851" s="25"/>
      <c r="G851" s="24"/>
    </row>
    <row r="852">
      <c r="C852" s="27"/>
      <c r="F852" s="25"/>
      <c r="G852" s="24"/>
    </row>
    <row r="853">
      <c r="C853" s="27"/>
      <c r="F853" s="25"/>
      <c r="G853" s="24"/>
    </row>
    <row r="854">
      <c r="C854" s="27"/>
      <c r="F854" s="25"/>
      <c r="G854" s="24"/>
    </row>
    <row r="855">
      <c r="C855" s="27"/>
      <c r="F855" s="25"/>
      <c r="G855" s="24"/>
    </row>
    <row r="856">
      <c r="C856" s="27"/>
      <c r="F856" s="25"/>
      <c r="G856" s="24"/>
    </row>
    <row r="857">
      <c r="C857" s="27"/>
      <c r="F857" s="25"/>
      <c r="G857" s="24"/>
    </row>
    <row r="858">
      <c r="C858" s="27"/>
      <c r="F858" s="25"/>
      <c r="G858" s="24"/>
    </row>
    <row r="859">
      <c r="C859" s="27"/>
      <c r="F859" s="25"/>
      <c r="G859" s="24"/>
    </row>
    <row r="860">
      <c r="C860" s="27"/>
      <c r="F860" s="25"/>
      <c r="G860" s="24"/>
    </row>
    <row r="861">
      <c r="C861" s="27"/>
      <c r="F861" s="25"/>
      <c r="G861" s="24"/>
    </row>
    <row r="862">
      <c r="C862" s="27"/>
      <c r="F862" s="25"/>
      <c r="G862" s="24"/>
    </row>
    <row r="863">
      <c r="C863" s="27"/>
      <c r="F863" s="25"/>
      <c r="G863" s="24"/>
    </row>
    <row r="864">
      <c r="C864" s="27"/>
      <c r="F864" s="25"/>
      <c r="G864" s="24"/>
    </row>
    <row r="865">
      <c r="C865" s="27"/>
      <c r="F865" s="25"/>
      <c r="G865" s="24"/>
    </row>
    <row r="866">
      <c r="C866" s="27"/>
      <c r="F866" s="25"/>
      <c r="G866" s="24"/>
    </row>
    <row r="867">
      <c r="C867" s="27"/>
      <c r="F867" s="25"/>
      <c r="G867" s="24"/>
    </row>
    <row r="868">
      <c r="C868" s="27"/>
      <c r="F868" s="25"/>
      <c r="G868" s="24"/>
    </row>
    <row r="869">
      <c r="C869" s="27"/>
      <c r="F869" s="25"/>
      <c r="G869" s="24"/>
    </row>
    <row r="870">
      <c r="C870" s="27"/>
      <c r="F870" s="25"/>
      <c r="G870" s="24"/>
    </row>
    <row r="871">
      <c r="C871" s="27"/>
      <c r="F871" s="25"/>
      <c r="G871" s="24"/>
    </row>
    <row r="872">
      <c r="C872" s="27"/>
      <c r="F872" s="25"/>
      <c r="G872" s="24"/>
    </row>
    <row r="873">
      <c r="C873" s="27"/>
      <c r="F873" s="25"/>
      <c r="G873" s="24"/>
    </row>
    <row r="874">
      <c r="C874" s="27"/>
      <c r="F874" s="25"/>
      <c r="G874" s="24"/>
    </row>
    <row r="875">
      <c r="C875" s="27"/>
      <c r="F875" s="25"/>
      <c r="G875" s="24"/>
    </row>
    <row r="876">
      <c r="C876" s="27"/>
      <c r="F876" s="25"/>
      <c r="G876" s="24"/>
    </row>
    <row r="877">
      <c r="C877" s="27"/>
      <c r="F877" s="25"/>
      <c r="G877" s="24"/>
    </row>
    <row r="878">
      <c r="C878" s="27"/>
      <c r="F878" s="25"/>
      <c r="G878" s="24"/>
    </row>
    <row r="879">
      <c r="C879" s="27"/>
      <c r="F879" s="25"/>
      <c r="G879" s="24"/>
    </row>
    <row r="880">
      <c r="C880" s="27"/>
      <c r="F880" s="25"/>
      <c r="G880" s="24"/>
    </row>
    <row r="881">
      <c r="C881" s="27"/>
      <c r="F881" s="25"/>
      <c r="G881" s="24"/>
    </row>
    <row r="882">
      <c r="C882" s="27"/>
      <c r="F882" s="25"/>
      <c r="G882" s="24"/>
    </row>
    <row r="883">
      <c r="C883" s="27"/>
      <c r="F883" s="25"/>
      <c r="G883" s="24"/>
    </row>
    <row r="884">
      <c r="C884" s="27"/>
      <c r="F884" s="25"/>
      <c r="G884" s="24"/>
    </row>
    <row r="885">
      <c r="C885" s="27"/>
      <c r="F885" s="25"/>
      <c r="G885" s="24"/>
    </row>
    <row r="886">
      <c r="C886" s="27"/>
      <c r="F886" s="25"/>
      <c r="G886" s="24"/>
    </row>
    <row r="887">
      <c r="C887" s="27"/>
      <c r="F887" s="25"/>
      <c r="G887" s="24"/>
    </row>
    <row r="888">
      <c r="C888" s="27"/>
      <c r="F888" s="25"/>
      <c r="G888" s="24"/>
    </row>
    <row r="889">
      <c r="C889" s="27"/>
      <c r="F889" s="25"/>
      <c r="G889" s="24"/>
    </row>
    <row r="890">
      <c r="C890" s="27"/>
      <c r="F890" s="25"/>
      <c r="G890" s="24"/>
    </row>
    <row r="891">
      <c r="C891" s="27"/>
      <c r="F891" s="25"/>
      <c r="G891" s="24"/>
    </row>
    <row r="892">
      <c r="C892" s="27"/>
      <c r="F892" s="25"/>
      <c r="G892" s="24"/>
    </row>
    <row r="893">
      <c r="C893" s="27"/>
      <c r="F893" s="25"/>
      <c r="G893" s="24"/>
    </row>
    <row r="894">
      <c r="C894" s="27"/>
      <c r="F894" s="25"/>
      <c r="G894" s="24"/>
    </row>
    <row r="895">
      <c r="C895" s="27"/>
      <c r="F895" s="25"/>
      <c r="G895" s="24"/>
    </row>
    <row r="896">
      <c r="C896" s="27"/>
      <c r="F896" s="25"/>
      <c r="G896" s="24"/>
    </row>
    <row r="897">
      <c r="C897" s="27"/>
      <c r="F897" s="25"/>
      <c r="G897" s="24"/>
    </row>
    <row r="898">
      <c r="C898" s="27"/>
      <c r="F898" s="25"/>
      <c r="G898" s="24"/>
    </row>
    <row r="899">
      <c r="C899" s="27"/>
      <c r="F899" s="25"/>
      <c r="G899" s="24"/>
    </row>
    <row r="900">
      <c r="C900" s="27"/>
      <c r="F900" s="25"/>
      <c r="G900" s="24"/>
    </row>
    <row r="901">
      <c r="C901" s="27"/>
      <c r="F901" s="25"/>
      <c r="G901" s="24"/>
    </row>
    <row r="902">
      <c r="C902" s="27"/>
      <c r="F902" s="25"/>
      <c r="G902" s="24"/>
    </row>
    <row r="903">
      <c r="C903" s="27"/>
      <c r="F903" s="25"/>
      <c r="G903" s="24"/>
    </row>
    <row r="904">
      <c r="C904" s="27"/>
      <c r="F904" s="25"/>
      <c r="G904" s="24"/>
    </row>
    <row r="905">
      <c r="C905" s="27"/>
      <c r="F905" s="25"/>
      <c r="G905" s="24"/>
    </row>
    <row r="906">
      <c r="C906" s="27"/>
      <c r="F906" s="25"/>
      <c r="G906" s="24"/>
    </row>
    <row r="907">
      <c r="C907" s="27"/>
      <c r="F907" s="25"/>
      <c r="G907" s="24"/>
    </row>
    <row r="908">
      <c r="C908" s="27"/>
      <c r="F908" s="25"/>
      <c r="G908" s="24"/>
    </row>
    <row r="909">
      <c r="C909" s="27"/>
      <c r="F909" s="25"/>
      <c r="G909" s="24"/>
    </row>
    <row r="910">
      <c r="C910" s="27"/>
      <c r="F910" s="25"/>
      <c r="G910" s="24"/>
    </row>
    <row r="911">
      <c r="C911" s="27"/>
      <c r="F911" s="25"/>
      <c r="G911" s="24"/>
    </row>
    <row r="912">
      <c r="C912" s="27"/>
      <c r="F912" s="25"/>
      <c r="G912" s="24"/>
    </row>
    <row r="913">
      <c r="C913" s="27"/>
      <c r="F913" s="25"/>
      <c r="G913" s="24"/>
    </row>
    <row r="914">
      <c r="C914" s="27"/>
      <c r="F914" s="25"/>
      <c r="G914" s="24"/>
    </row>
    <row r="915">
      <c r="C915" s="27"/>
      <c r="F915" s="25"/>
      <c r="G915" s="24"/>
    </row>
    <row r="916">
      <c r="C916" s="27"/>
      <c r="F916" s="25"/>
      <c r="G916" s="24"/>
    </row>
    <row r="917">
      <c r="C917" s="27"/>
      <c r="F917" s="25"/>
      <c r="G917" s="24"/>
    </row>
    <row r="918">
      <c r="C918" s="27"/>
      <c r="F918" s="25"/>
      <c r="G918" s="24"/>
    </row>
    <row r="919">
      <c r="C919" s="27"/>
      <c r="F919" s="25"/>
      <c r="G919" s="24"/>
    </row>
    <row r="920">
      <c r="C920" s="27"/>
      <c r="F920" s="25"/>
      <c r="G920" s="24"/>
    </row>
    <row r="921">
      <c r="C921" s="27"/>
      <c r="F921" s="25"/>
      <c r="G921" s="24"/>
    </row>
    <row r="922">
      <c r="C922" s="27"/>
      <c r="F922" s="25"/>
      <c r="G922" s="24"/>
    </row>
    <row r="923">
      <c r="C923" s="27"/>
      <c r="F923" s="25"/>
      <c r="G923" s="24"/>
    </row>
    <row r="924">
      <c r="C924" s="27"/>
      <c r="F924" s="25"/>
      <c r="G924" s="24"/>
    </row>
    <row r="925">
      <c r="C925" s="27"/>
      <c r="F925" s="25"/>
      <c r="G925" s="24"/>
    </row>
    <row r="926">
      <c r="C926" s="27"/>
      <c r="F926" s="25"/>
      <c r="G926" s="24"/>
    </row>
    <row r="927">
      <c r="C927" s="27"/>
      <c r="F927" s="25"/>
      <c r="G927" s="24"/>
    </row>
    <row r="928">
      <c r="C928" s="27"/>
      <c r="F928" s="25"/>
      <c r="G928" s="24"/>
    </row>
    <row r="929">
      <c r="C929" s="27"/>
      <c r="F929" s="25"/>
      <c r="G929" s="24"/>
    </row>
    <row r="930">
      <c r="C930" s="27"/>
      <c r="F930" s="25"/>
      <c r="G930" s="24"/>
    </row>
    <row r="931">
      <c r="C931" s="27"/>
      <c r="F931" s="25"/>
      <c r="G931" s="24"/>
    </row>
    <row r="932">
      <c r="C932" s="27"/>
      <c r="F932" s="25"/>
      <c r="G932" s="24"/>
    </row>
    <row r="933">
      <c r="C933" s="27"/>
      <c r="F933" s="25"/>
      <c r="G933" s="24"/>
    </row>
    <row r="934">
      <c r="C934" s="27"/>
      <c r="F934" s="25"/>
      <c r="G934" s="24"/>
    </row>
    <row r="935">
      <c r="C935" s="27"/>
      <c r="F935" s="25"/>
      <c r="G935" s="24"/>
    </row>
    <row r="936">
      <c r="C936" s="27"/>
      <c r="F936" s="25"/>
      <c r="G936" s="24"/>
    </row>
    <row r="937">
      <c r="C937" s="27"/>
      <c r="F937" s="25"/>
      <c r="G937" s="24"/>
    </row>
    <row r="938">
      <c r="C938" s="27"/>
      <c r="F938" s="25"/>
      <c r="G938" s="24"/>
    </row>
    <row r="939">
      <c r="C939" s="27"/>
      <c r="F939" s="25"/>
      <c r="G939" s="24"/>
    </row>
    <row r="940">
      <c r="C940" s="27"/>
      <c r="F940" s="25"/>
      <c r="G940" s="24"/>
    </row>
    <row r="941">
      <c r="C941" s="27"/>
      <c r="F941" s="25"/>
      <c r="G941" s="24"/>
    </row>
    <row r="942">
      <c r="C942" s="27"/>
      <c r="F942" s="25"/>
      <c r="G942" s="24"/>
    </row>
    <row r="943">
      <c r="C943" s="27"/>
      <c r="F943" s="25"/>
      <c r="G943" s="24"/>
    </row>
    <row r="944">
      <c r="C944" s="27"/>
      <c r="F944" s="25"/>
      <c r="G944" s="24"/>
    </row>
    <row r="945">
      <c r="C945" s="27"/>
      <c r="F945" s="25"/>
      <c r="G945" s="24"/>
    </row>
    <row r="946">
      <c r="C946" s="27"/>
      <c r="F946" s="25"/>
      <c r="G946" s="24"/>
    </row>
    <row r="947">
      <c r="C947" s="27"/>
      <c r="F947" s="25"/>
      <c r="G947" s="24"/>
    </row>
    <row r="948">
      <c r="C948" s="27"/>
      <c r="F948" s="25"/>
      <c r="G948" s="24"/>
    </row>
    <row r="949">
      <c r="C949" s="27"/>
      <c r="F949" s="25"/>
      <c r="G949" s="24"/>
    </row>
    <row r="950">
      <c r="C950" s="27"/>
      <c r="F950" s="25"/>
      <c r="G950" s="24"/>
    </row>
    <row r="951">
      <c r="C951" s="27"/>
      <c r="F951" s="25"/>
      <c r="G951" s="24"/>
    </row>
    <row r="952">
      <c r="C952" s="27"/>
      <c r="F952" s="25"/>
      <c r="G952" s="24"/>
    </row>
    <row r="953">
      <c r="C953" s="27"/>
      <c r="F953" s="25"/>
      <c r="G953" s="24"/>
    </row>
    <row r="954">
      <c r="C954" s="27"/>
      <c r="F954" s="25"/>
      <c r="G954" s="24"/>
    </row>
    <row r="955">
      <c r="C955" s="27"/>
      <c r="F955" s="25"/>
      <c r="G955" s="24"/>
    </row>
    <row r="956">
      <c r="C956" s="27"/>
      <c r="F956" s="25"/>
      <c r="G956" s="24"/>
    </row>
    <row r="957">
      <c r="C957" s="27"/>
      <c r="F957" s="25"/>
      <c r="G957" s="24"/>
    </row>
    <row r="958">
      <c r="C958" s="27"/>
      <c r="F958" s="25"/>
      <c r="G958" s="24"/>
    </row>
    <row r="959">
      <c r="C959" s="27"/>
      <c r="F959" s="25"/>
      <c r="G959" s="24"/>
    </row>
    <row r="960">
      <c r="C960" s="27"/>
      <c r="F960" s="25"/>
      <c r="G960" s="24"/>
    </row>
    <row r="961">
      <c r="C961" s="27"/>
      <c r="F961" s="25"/>
      <c r="G961" s="24"/>
    </row>
    <row r="962">
      <c r="C962" s="27"/>
      <c r="F962" s="25"/>
      <c r="G962" s="24"/>
    </row>
    <row r="963">
      <c r="C963" s="27"/>
      <c r="F963" s="25"/>
      <c r="G963" s="24"/>
    </row>
    <row r="964">
      <c r="C964" s="27"/>
      <c r="F964" s="25"/>
      <c r="G964" s="24"/>
    </row>
    <row r="965">
      <c r="C965" s="27"/>
      <c r="F965" s="25"/>
      <c r="G965" s="24"/>
    </row>
    <row r="966">
      <c r="C966" s="27"/>
      <c r="F966" s="25"/>
      <c r="G966" s="24"/>
    </row>
    <row r="967">
      <c r="C967" s="27"/>
      <c r="F967" s="25"/>
      <c r="G967" s="24"/>
    </row>
    <row r="968">
      <c r="C968" s="27"/>
      <c r="F968" s="25"/>
      <c r="G968" s="24"/>
    </row>
    <row r="969">
      <c r="C969" s="27"/>
      <c r="F969" s="25"/>
      <c r="G969" s="24"/>
    </row>
    <row r="970">
      <c r="C970" s="27"/>
      <c r="F970" s="25"/>
      <c r="G970" s="24"/>
    </row>
    <row r="971">
      <c r="C971" s="27"/>
      <c r="F971" s="25"/>
      <c r="G971" s="24"/>
    </row>
    <row r="972">
      <c r="C972" s="27"/>
      <c r="F972" s="25"/>
      <c r="G972" s="24"/>
    </row>
    <row r="973">
      <c r="C973" s="27"/>
      <c r="F973" s="25"/>
      <c r="G973" s="24"/>
    </row>
    <row r="974">
      <c r="C974" s="27"/>
      <c r="F974" s="25"/>
      <c r="G974" s="24"/>
    </row>
    <row r="975">
      <c r="C975" s="27"/>
      <c r="F975" s="25"/>
      <c r="G975" s="24"/>
    </row>
    <row r="976">
      <c r="C976" s="27"/>
      <c r="F976" s="25"/>
      <c r="G976" s="24"/>
    </row>
    <row r="977">
      <c r="C977" s="27"/>
      <c r="F977" s="25"/>
      <c r="G977" s="24"/>
    </row>
    <row r="978">
      <c r="C978" s="27"/>
      <c r="F978" s="25"/>
      <c r="G978" s="24"/>
    </row>
    <row r="979">
      <c r="C979" s="27"/>
      <c r="F979" s="25"/>
      <c r="G979" s="24"/>
    </row>
    <row r="980">
      <c r="C980" s="27"/>
      <c r="F980" s="25"/>
      <c r="G980" s="24"/>
    </row>
    <row r="981">
      <c r="C981" s="27"/>
      <c r="F981" s="25"/>
      <c r="G981" s="24"/>
    </row>
    <row r="982">
      <c r="C982" s="27"/>
      <c r="F982" s="25"/>
      <c r="G982" s="24"/>
    </row>
    <row r="983">
      <c r="C983" s="27"/>
      <c r="F983" s="25"/>
      <c r="G983" s="24"/>
    </row>
    <row r="984">
      <c r="C984" s="27"/>
      <c r="F984" s="25"/>
      <c r="G984" s="24"/>
    </row>
    <row r="985">
      <c r="C985" s="27"/>
      <c r="F985" s="25"/>
      <c r="G985" s="24"/>
    </row>
    <row r="986">
      <c r="C986" s="27"/>
      <c r="F986" s="25"/>
      <c r="G986" s="24"/>
    </row>
    <row r="987">
      <c r="C987" s="27"/>
      <c r="F987" s="25"/>
      <c r="G987" s="24"/>
    </row>
    <row r="988">
      <c r="C988" s="27"/>
      <c r="F988" s="25"/>
      <c r="G988" s="24"/>
    </row>
    <row r="989">
      <c r="C989" s="27"/>
      <c r="F989" s="25"/>
      <c r="G989" s="24"/>
    </row>
    <row r="990">
      <c r="C990" s="27"/>
      <c r="F990" s="25"/>
      <c r="G990" s="24"/>
    </row>
    <row r="991">
      <c r="C991" s="27"/>
      <c r="F991" s="25"/>
      <c r="G991" s="24"/>
    </row>
    <row r="992">
      <c r="C992" s="27"/>
      <c r="F992" s="25"/>
      <c r="G992" s="24"/>
    </row>
    <row r="993">
      <c r="C993" s="27"/>
      <c r="F993" s="25"/>
      <c r="G993" s="24"/>
    </row>
    <row r="994">
      <c r="C994" s="27"/>
      <c r="F994" s="25"/>
      <c r="G994" s="24"/>
    </row>
    <row r="995">
      <c r="C995" s="27"/>
      <c r="F995" s="25"/>
      <c r="G995" s="24"/>
    </row>
    <row r="996">
      <c r="C996" s="27"/>
      <c r="F996" s="25"/>
      <c r="G996" s="24"/>
    </row>
    <row r="997">
      <c r="C997" s="27"/>
      <c r="F997" s="25"/>
      <c r="G997" s="24"/>
    </row>
    <row r="998">
      <c r="C998" s="27"/>
      <c r="F998" s="25"/>
      <c r="G998" s="24"/>
    </row>
    <row r="999">
      <c r="C999" s="27"/>
      <c r="F999" s="25"/>
      <c r="G999" s="24"/>
    </row>
    <row r="1000">
      <c r="C1000" s="27"/>
      <c r="F1000" s="25"/>
      <c r="G1000" s="24"/>
    </row>
  </sheetData>
  <drawing r:id="rId1"/>
</worksheet>
</file>