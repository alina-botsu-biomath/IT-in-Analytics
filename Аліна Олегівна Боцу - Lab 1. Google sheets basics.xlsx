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Аркуш2" sheetId="2" r:id="rId6"/>
    <sheet state="visible" name="Аркуш3" sheetId="3" r:id="rId7"/>
    <sheet state="visible" name="Аркуш4" sheetId="4" r:id="rId8"/>
    <sheet state="visible" name="Аркуш5" sheetId="5" r:id="rId9"/>
    <sheet state="visible" name="Аркуш6" sheetId="6" r:id="rId10"/>
    <sheet state="visible" name="Аркуш7" sheetId="7" r:id="rId11"/>
    <sheet state="visible" name="Аркуш8" sheetId="8" r:id="rId12"/>
  </sheets>
  <definedNames/>
  <calcPr/>
</workbook>
</file>

<file path=xl/sharedStrings.xml><?xml version="1.0" encoding="utf-8"?>
<sst xmlns="http://schemas.openxmlformats.org/spreadsheetml/2006/main" count="82" uniqueCount="61">
  <si>
    <t>Прізвище</t>
  </si>
  <si>
    <t xml:space="preserve">Вкладена сума </t>
  </si>
  <si>
    <t xml:space="preserve">Утримання </t>
  </si>
  <si>
    <t xml:space="preserve">Сума до видачі </t>
  </si>
  <si>
    <t xml:space="preserve">Прізвище </t>
  </si>
  <si>
    <t>Оклад</t>
  </si>
  <si>
    <t xml:space="preserve">Зріст </t>
  </si>
  <si>
    <t xml:space="preserve">1 місяць </t>
  </si>
  <si>
    <t>Чи попадає у команду ?</t>
  </si>
  <si>
    <t>Аванс</t>
  </si>
  <si>
    <t xml:space="preserve">Бендер </t>
  </si>
  <si>
    <t xml:space="preserve">Податок на прибуток </t>
  </si>
  <si>
    <t>Пенсійний податок</t>
  </si>
  <si>
    <t xml:space="preserve">Профспілковий внесок </t>
  </si>
  <si>
    <t>Бендер</t>
  </si>
  <si>
    <t>2 місяць</t>
  </si>
  <si>
    <t>3 місяць</t>
  </si>
  <si>
    <t>Петров</t>
  </si>
  <si>
    <t>4 місяць</t>
  </si>
  <si>
    <t>Іванов</t>
  </si>
  <si>
    <t>5 місяць</t>
  </si>
  <si>
    <t>6 місяць</t>
  </si>
  <si>
    <t>7 місяць</t>
  </si>
  <si>
    <t>8 місяць</t>
  </si>
  <si>
    <t>9 місяць</t>
  </si>
  <si>
    <t>10 місяць</t>
  </si>
  <si>
    <t>11 місяць</t>
  </si>
  <si>
    <t>12 місяць</t>
  </si>
  <si>
    <t>Остаточна сума</t>
  </si>
  <si>
    <t>Кількість зроблених деталей, шт</t>
  </si>
  <si>
    <t>З них зіпсованих</t>
  </si>
  <si>
    <t>Рекомендації</t>
  </si>
  <si>
    <t>Севідж</t>
  </si>
  <si>
    <t>Марка авто</t>
  </si>
  <si>
    <t>Продавець</t>
  </si>
  <si>
    <t>Сума угоди</t>
  </si>
  <si>
    <t>Ford</t>
  </si>
  <si>
    <t>Opel</t>
  </si>
  <si>
    <t>Паніковський</t>
  </si>
  <si>
    <t>Ханнеман</t>
  </si>
  <si>
    <t>Запорожець</t>
  </si>
  <si>
    <t>Імахарам</t>
  </si>
  <si>
    <t>Беллечі</t>
  </si>
  <si>
    <t>Довідник цін</t>
  </si>
  <si>
    <t xml:space="preserve">Опалення за 1 кв. м </t>
  </si>
  <si>
    <t>Холодна вода на 1 людину</t>
  </si>
  <si>
    <t>Продано опелей на суму</t>
  </si>
  <si>
    <t>Гаряча вода на 1 людину</t>
  </si>
  <si>
    <t>Електроенергія на 1 кВат</t>
  </si>
  <si>
    <t>До 100 кВат</t>
  </si>
  <si>
    <t xml:space="preserve">Від 100 до 600 к Ват </t>
  </si>
  <si>
    <t>Більше 600 кВат</t>
  </si>
  <si>
    <t>Продано фордів на суму</t>
  </si>
  <si>
    <t xml:space="preserve">Газ на 1 людитну </t>
  </si>
  <si>
    <t xml:space="preserve">Квартплата за 1 кв.м. </t>
  </si>
  <si>
    <t>№ п/п</t>
  </si>
  <si>
    <t>Метраж</t>
  </si>
  <si>
    <t>Кількість прописаних</t>
  </si>
  <si>
    <t xml:space="preserve">Показник лічильника, к Вт  </t>
  </si>
  <si>
    <t>Сума</t>
  </si>
  <si>
    <t>Загалом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</si>
</sst>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\ [$грн. -422]"/>
    <numFmt numFmtId="166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>
        <f t="shared" ref="B1:B20" si="1">1/A1</f>
        <v>1</v>
      </c>
      <c r="C1" s="1">
        <v>1.0</v>
      </c>
      <c r="D1" s="2">
        <f t="shared" ref="D1:D20" si="2">$C$1/A1</f>
        <v>1</v>
      </c>
    </row>
    <row r="2">
      <c r="A2" s="1">
        <v>2.0</v>
      </c>
      <c r="B2" s="2">
        <f t="shared" si="1"/>
        <v>0.5</v>
      </c>
      <c r="D2" s="2">
        <f t="shared" si="2"/>
        <v>0.5</v>
      </c>
    </row>
    <row r="3">
      <c r="A3" s="1">
        <v>3.0</v>
      </c>
      <c r="B3" s="2">
        <f t="shared" si="1"/>
        <v>0.3333333333</v>
      </c>
      <c r="D3" s="2">
        <f t="shared" si="2"/>
        <v>0.3333333333</v>
      </c>
    </row>
    <row r="4">
      <c r="A4" s="1">
        <v>4.0</v>
      </c>
      <c r="B4" s="2">
        <f t="shared" si="1"/>
        <v>0.25</v>
      </c>
      <c r="D4" s="2">
        <f t="shared" si="2"/>
        <v>0.25</v>
      </c>
    </row>
    <row r="5">
      <c r="A5" s="1">
        <v>5.0</v>
      </c>
      <c r="B5" s="2">
        <f t="shared" si="1"/>
        <v>0.2</v>
      </c>
      <c r="D5" s="2">
        <f t="shared" si="2"/>
        <v>0.2</v>
      </c>
    </row>
    <row r="6">
      <c r="A6" s="1">
        <v>6.0</v>
      </c>
      <c r="B6" s="2">
        <f t="shared" si="1"/>
        <v>0.1666666667</v>
      </c>
      <c r="D6" s="2">
        <f t="shared" si="2"/>
        <v>0.1666666667</v>
      </c>
    </row>
    <row r="7">
      <c r="A7" s="1">
        <v>7.0</v>
      </c>
      <c r="B7" s="2">
        <f t="shared" si="1"/>
        <v>0.1428571429</v>
      </c>
      <c r="D7" s="2">
        <f t="shared" si="2"/>
        <v>0.1428571429</v>
      </c>
    </row>
    <row r="8">
      <c r="A8" s="1">
        <v>8.0</v>
      </c>
      <c r="B8" s="2">
        <f t="shared" si="1"/>
        <v>0.125</v>
      </c>
      <c r="D8" s="2">
        <f t="shared" si="2"/>
        <v>0.125</v>
      </c>
    </row>
    <row r="9">
      <c r="A9" s="1">
        <v>9.0</v>
      </c>
      <c r="B9" s="2">
        <f t="shared" si="1"/>
        <v>0.1111111111</v>
      </c>
      <c r="D9" s="2">
        <f t="shared" si="2"/>
        <v>0.1111111111</v>
      </c>
    </row>
    <row r="10">
      <c r="A10" s="1">
        <v>10.0</v>
      </c>
      <c r="B10" s="2">
        <f t="shared" si="1"/>
        <v>0.1</v>
      </c>
      <c r="D10" s="2">
        <f t="shared" si="2"/>
        <v>0.1</v>
      </c>
    </row>
    <row r="11">
      <c r="A11" s="1">
        <v>11.0</v>
      </c>
      <c r="B11" s="2">
        <f t="shared" si="1"/>
        <v>0.09090909091</v>
      </c>
      <c r="D11" s="2">
        <f t="shared" si="2"/>
        <v>0.09090909091</v>
      </c>
    </row>
    <row r="12">
      <c r="A12" s="1">
        <v>12.0</v>
      </c>
      <c r="B12" s="2">
        <f t="shared" si="1"/>
        <v>0.08333333333</v>
      </c>
      <c r="D12" s="2">
        <f t="shared" si="2"/>
        <v>0.08333333333</v>
      </c>
    </row>
    <row r="13">
      <c r="A13" s="1">
        <v>13.0</v>
      </c>
      <c r="B13" s="2">
        <f t="shared" si="1"/>
        <v>0.07692307692</v>
      </c>
      <c r="D13" s="2">
        <f t="shared" si="2"/>
        <v>0.07692307692</v>
      </c>
    </row>
    <row r="14">
      <c r="A14" s="1">
        <v>14.0</v>
      </c>
      <c r="B14" s="2">
        <f t="shared" si="1"/>
        <v>0.07142857143</v>
      </c>
      <c r="D14" s="2">
        <f t="shared" si="2"/>
        <v>0.07142857143</v>
      </c>
    </row>
    <row r="15">
      <c r="A15" s="1">
        <v>15.0</v>
      </c>
      <c r="B15" s="2">
        <f t="shared" si="1"/>
        <v>0.06666666667</v>
      </c>
      <c r="D15" s="2">
        <f t="shared" si="2"/>
        <v>0.06666666667</v>
      </c>
    </row>
    <row r="16">
      <c r="A16" s="1">
        <v>16.0</v>
      </c>
      <c r="B16" s="2">
        <f t="shared" si="1"/>
        <v>0.0625</v>
      </c>
      <c r="D16" s="2">
        <f t="shared" si="2"/>
        <v>0.0625</v>
      </c>
    </row>
    <row r="17">
      <c r="A17" s="1">
        <v>17.0</v>
      </c>
      <c r="B17" s="2">
        <f t="shared" si="1"/>
        <v>0.05882352941</v>
      </c>
      <c r="D17" s="2">
        <f t="shared" si="2"/>
        <v>0.05882352941</v>
      </c>
    </row>
    <row r="18">
      <c r="A18" s="1">
        <v>18.0</v>
      </c>
      <c r="B18" s="2">
        <f t="shared" si="1"/>
        <v>0.05555555556</v>
      </c>
      <c r="D18" s="2">
        <f t="shared" si="2"/>
        <v>0.05555555556</v>
      </c>
    </row>
    <row r="19">
      <c r="A19" s="1">
        <v>19.0</v>
      </c>
      <c r="B19" s="2">
        <f t="shared" si="1"/>
        <v>0.05263157895</v>
      </c>
      <c r="D19" s="2">
        <f t="shared" si="2"/>
        <v>0.05263157895</v>
      </c>
    </row>
    <row r="20">
      <c r="A20" s="1">
        <v>20.0</v>
      </c>
      <c r="B20" s="2">
        <f t="shared" si="1"/>
        <v>0.05</v>
      </c>
      <c r="D20" s="2">
        <f t="shared" si="2"/>
        <v>0.05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1.0" customHeight="1">
      <c r="A1" s="1" t="s">
        <v>0</v>
      </c>
      <c r="B1" s="1" t="s">
        <v>2</v>
      </c>
      <c r="G1" s="1" t="s">
        <v>3</v>
      </c>
    </row>
    <row r="2">
      <c r="B2" s="1" t="s">
        <v>5</v>
      </c>
      <c r="C2" s="1" t="s">
        <v>9</v>
      </c>
      <c r="D2" s="1" t="s">
        <v>11</v>
      </c>
      <c r="E2" s="1" t="s">
        <v>12</v>
      </c>
      <c r="F2" s="1" t="s">
        <v>13</v>
      </c>
    </row>
    <row r="3">
      <c r="A3" s="1" t="s">
        <v>14</v>
      </c>
      <c r="B3" s="3">
        <v>8000.0</v>
      </c>
      <c r="C3" s="4">
        <f>B3*0.4</f>
        <v>3200</v>
      </c>
      <c r="D3" s="4">
        <f>B3*0.13</f>
        <v>1040</v>
      </c>
      <c r="E3" s="4">
        <f>B3*0.02</f>
        <v>160</v>
      </c>
      <c r="F3" s="4">
        <f>B3*0.01</f>
        <v>80</v>
      </c>
      <c r="G3" s="4">
        <f>B3-C3-D3-E3-F3</f>
        <v>3520</v>
      </c>
    </row>
  </sheetData>
  <mergeCells count="3">
    <mergeCell ref="A1:A2"/>
    <mergeCell ref="B1:F1"/>
    <mergeCell ref="G1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1</v>
      </c>
      <c r="B1" s="3">
        <v>5000.0</v>
      </c>
    </row>
    <row r="2">
      <c r="A2" s="1" t="s">
        <v>7</v>
      </c>
      <c r="B2" s="4">
        <f t="shared" ref="B2:B13" si="1">B1+B1*0.012</f>
        <v>5060</v>
      </c>
    </row>
    <row r="3">
      <c r="A3" s="1" t="s">
        <v>15</v>
      </c>
      <c r="B3" s="4">
        <f t="shared" si="1"/>
        <v>5120.72</v>
      </c>
    </row>
    <row r="4">
      <c r="A4" s="1" t="s">
        <v>16</v>
      </c>
      <c r="B4" s="4">
        <f t="shared" si="1"/>
        <v>5182.16864</v>
      </c>
    </row>
    <row r="5">
      <c r="A5" s="1" t="s">
        <v>18</v>
      </c>
      <c r="B5" s="4">
        <f t="shared" si="1"/>
        <v>5244.354664</v>
      </c>
    </row>
    <row r="6">
      <c r="A6" s="1" t="s">
        <v>20</v>
      </c>
      <c r="B6" s="4">
        <f t="shared" si="1"/>
        <v>5307.28692</v>
      </c>
    </row>
    <row r="7">
      <c r="A7" s="1" t="s">
        <v>21</v>
      </c>
      <c r="B7" s="4">
        <f t="shared" si="1"/>
        <v>5370.974363</v>
      </c>
    </row>
    <row r="8">
      <c r="A8" s="1" t="s">
        <v>22</v>
      </c>
      <c r="B8" s="4">
        <f t="shared" si="1"/>
        <v>5435.426055</v>
      </c>
    </row>
    <row r="9">
      <c r="A9" s="1" t="s">
        <v>23</v>
      </c>
      <c r="B9" s="4">
        <f t="shared" si="1"/>
        <v>5500.651168</v>
      </c>
    </row>
    <row r="10">
      <c r="A10" s="1" t="s">
        <v>24</v>
      </c>
      <c r="B10" s="4">
        <f t="shared" si="1"/>
        <v>5566.658982</v>
      </c>
    </row>
    <row r="11">
      <c r="A11" s="1" t="s">
        <v>25</v>
      </c>
      <c r="B11" s="4">
        <f t="shared" si="1"/>
        <v>5633.458889</v>
      </c>
    </row>
    <row r="12">
      <c r="A12" s="1" t="s">
        <v>26</v>
      </c>
      <c r="B12" s="4">
        <f t="shared" si="1"/>
        <v>5701.060396</v>
      </c>
    </row>
    <row r="13">
      <c r="A13" s="1" t="s">
        <v>27</v>
      </c>
      <c r="B13" s="4">
        <f t="shared" si="1"/>
        <v>5769.473121</v>
      </c>
    </row>
    <row r="14">
      <c r="A14" s="1" t="s">
        <v>28</v>
      </c>
      <c r="B14" s="4">
        <f>$B$12+$B$12*0.012</f>
        <v>5769.473121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</cols>
  <sheetData>
    <row r="1">
      <c r="A1" s="1" t="s">
        <v>4</v>
      </c>
      <c r="B1" s="1" t="s">
        <v>6</v>
      </c>
      <c r="C1" s="1" t="s">
        <v>8</v>
      </c>
    </row>
    <row r="2">
      <c r="A2" s="1" t="s">
        <v>10</v>
      </c>
      <c r="B2" s="1">
        <v>173.0</v>
      </c>
      <c r="C2" s="5" t="str">
        <f t="shared" ref="C2:C4" si="1">IF(B2&gt;180,"так","ні")</f>
        <v>ні</v>
      </c>
    </row>
    <row r="3">
      <c r="A3" s="1" t="s">
        <v>17</v>
      </c>
      <c r="B3" s="1">
        <v>165.0</v>
      </c>
      <c r="C3" s="5" t="str">
        <f t="shared" si="1"/>
        <v>ні</v>
      </c>
    </row>
    <row r="4">
      <c r="A4" s="1" t="s">
        <v>19</v>
      </c>
      <c r="B4" s="1">
        <v>187.0</v>
      </c>
      <c r="C4" s="5" t="str">
        <f t="shared" si="1"/>
        <v>так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17.25"/>
  </cols>
  <sheetData>
    <row r="1">
      <c r="A1" s="1" t="s">
        <v>0</v>
      </c>
      <c r="B1" s="1" t="s">
        <v>29</v>
      </c>
      <c r="C1" s="1" t="s">
        <v>30</v>
      </c>
      <c r="D1" s="1" t="s">
        <v>31</v>
      </c>
    </row>
    <row r="2">
      <c r="A2" s="1" t="s">
        <v>32</v>
      </c>
      <c r="B2" s="1">
        <v>85.0</v>
      </c>
      <c r="C2" s="1">
        <v>50.0</v>
      </c>
      <c r="D2" s="5" t="str">
        <f t="shared" ref="D2:D5" si="1">IFS(C2/B2&gt;0.5,"Звільнити",AND(C2/B2&lt;0.5,C2/B2&gt;0.05),"Попередити",C2/B2&lt;0.05,"Похвалити")</f>
        <v>Звільнити</v>
      </c>
    </row>
    <row r="3">
      <c r="A3" s="1" t="s">
        <v>39</v>
      </c>
      <c r="B3" s="1">
        <v>70.0</v>
      </c>
      <c r="C3" s="1">
        <v>20.0</v>
      </c>
      <c r="D3" s="5" t="str">
        <f t="shared" si="1"/>
        <v>Попередити</v>
      </c>
      <c r="E3" s="1"/>
    </row>
    <row r="4">
      <c r="A4" s="1" t="s">
        <v>41</v>
      </c>
      <c r="B4" s="1">
        <v>48.0</v>
      </c>
      <c r="C4" s="1">
        <v>2.0</v>
      </c>
      <c r="D4" s="5" t="str">
        <f t="shared" si="1"/>
        <v>Похвалити</v>
      </c>
    </row>
    <row r="5">
      <c r="A5" s="1" t="s">
        <v>42</v>
      </c>
      <c r="B5" s="1">
        <v>90.0</v>
      </c>
      <c r="C5" s="1">
        <v>10.0</v>
      </c>
      <c r="D5" s="5" t="str">
        <f t="shared" si="1"/>
        <v>Попередити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</row>
    <row r="2">
      <c r="A2" s="1" t="s">
        <v>36</v>
      </c>
      <c r="B2" s="1" t="s">
        <v>14</v>
      </c>
      <c r="C2" s="6">
        <v>10000.0</v>
      </c>
    </row>
    <row r="3">
      <c r="A3" s="1" t="s">
        <v>37</v>
      </c>
      <c r="B3" s="7" t="s">
        <v>14</v>
      </c>
      <c r="C3" s="6">
        <v>80000.0</v>
      </c>
    </row>
    <row r="4">
      <c r="A4" s="1" t="s">
        <v>36</v>
      </c>
      <c r="B4" s="1" t="s">
        <v>38</v>
      </c>
      <c r="C4" s="6">
        <v>9000.0</v>
      </c>
    </row>
    <row r="5">
      <c r="A5" s="1" t="s">
        <v>36</v>
      </c>
      <c r="B5" s="1" t="s">
        <v>38</v>
      </c>
      <c r="C5" s="6">
        <v>15000.0</v>
      </c>
    </row>
    <row r="6">
      <c r="A6" s="1" t="s">
        <v>40</v>
      </c>
      <c r="B6" s="1" t="s">
        <v>38</v>
      </c>
      <c r="C6" s="6">
        <v>3000.0</v>
      </c>
      <c r="G6" s="4"/>
    </row>
    <row r="7">
      <c r="A7" s="1" t="s">
        <v>36</v>
      </c>
      <c r="B7" s="7" t="s">
        <v>14</v>
      </c>
      <c r="C7" s="6">
        <v>15000.0</v>
      </c>
    </row>
    <row r="8">
      <c r="A8" s="1" t="s">
        <v>37</v>
      </c>
      <c r="B8" s="7" t="s">
        <v>14</v>
      </c>
      <c r="C8" s="6">
        <v>12000.0</v>
      </c>
    </row>
    <row r="9">
      <c r="A9" s="1" t="s">
        <v>40</v>
      </c>
      <c r="B9" s="1" t="s">
        <v>38</v>
      </c>
      <c r="C9" s="6">
        <v>4000.0</v>
      </c>
    </row>
    <row r="10">
      <c r="A10" s="1" t="s">
        <v>36</v>
      </c>
      <c r="B10" s="7" t="s">
        <v>14</v>
      </c>
      <c r="C10" s="6">
        <v>20000.0</v>
      </c>
    </row>
    <row r="12">
      <c r="A12" s="1" t="s">
        <v>46</v>
      </c>
      <c r="C12" s="10">
        <f>SUMIF(A2:A10,"Opel",C2:C10)</f>
        <v>92000</v>
      </c>
    </row>
    <row r="13">
      <c r="A13" s="1" t="s">
        <v>52</v>
      </c>
      <c r="C13" s="10">
        <f>SUMIF(A2:A10,"Ford",C2:C10)</f>
        <v>69000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18.75"/>
    <col customWidth="1" min="4" max="4" width="20.5"/>
    <col customWidth="1" min="5" max="5" width="13.38"/>
  </cols>
  <sheetData>
    <row r="2">
      <c r="B2" s="1" t="s">
        <v>43</v>
      </c>
    </row>
    <row r="4">
      <c r="A4" s="1">
        <v>1.0</v>
      </c>
      <c r="B4" s="1" t="s">
        <v>44</v>
      </c>
      <c r="C4" s="1">
        <v>31.62</v>
      </c>
    </row>
    <row r="5">
      <c r="A5" s="1">
        <v>2.0</v>
      </c>
      <c r="B5" s="1" t="s">
        <v>45</v>
      </c>
      <c r="C5" s="1">
        <v>14.12</v>
      </c>
    </row>
    <row r="6">
      <c r="A6" s="1">
        <v>3.0</v>
      </c>
      <c r="B6" s="1" t="s">
        <v>47</v>
      </c>
      <c r="C6" s="1">
        <v>77.18</v>
      </c>
    </row>
    <row r="7">
      <c r="A7" s="8">
        <v>4.0</v>
      </c>
      <c r="B7" s="9" t="s">
        <v>48</v>
      </c>
      <c r="C7" s="1">
        <v>0.714</v>
      </c>
      <c r="D7" s="1" t="s">
        <v>49</v>
      </c>
    </row>
    <row r="8">
      <c r="C8" s="1">
        <v>1.29</v>
      </c>
      <c r="D8" s="1" t="s">
        <v>50</v>
      </c>
    </row>
    <row r="9">
      <c r="C9" s="1">
        <v>1.638</v>
      </c>
      <c r="D9" s="1" t="s">
        <v>51</v>
      </c>
    </row>
    <row r="10">
      <c r="A10" s="1">
        <v>5.0</v>
      </c>
      <c r="B10" s="1" t="s">
        <v>53</v>
      </c>
      <c r="C10" s="1">
        <v>48.84</v>
      </c>
    </row>
    <row r="11">
      <c r="A11" s="1">
        <v>6.0</v>
      </c>
      <c r="B11" s="1" t="s">
        <v>54</v>
      </c>
      <c r="C11" s="1">
        <v>1.36</v>
      </c>
    </row>
    <row r="14" ht="45.75" customHeight="1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</row>
    <row r="15">
      <c r="A15" s="1">
        <v>1.0</v>
      </c>
      <c r="B15" s="1">
        <v>78.0</v>
      </c>
      <c r="C15" s="1">
        <v>3.0</v>
      </c>
      <c r="D15" s="1">
        <v>200.0</v>
      </c>
      <c r="E15" s="4">
        <f t="shared" ref="E15:E23" si="1">($C$5+$C$6+$C$10)*C15+($C$11+$C$4)*B15+IFS(D15&lt;=100,$C$7*D15,AND(D15&gt;100,D15&lt;600),$C$8*D15,D15&gt;=600,D15*$C$9)</f>
        <v>3250.86</v>
      </c>
    </row>
    <row r="16">
      <c r="A16" s="1">
        <v>2.0</v>
      </c>
      <c r="B16" s="1">
        <v>60.0</v>
      </c>
      <c r="C16" s="1">
        <v>5.0</v>
      </c>
      <c r="D16" s="1">
        <v>120.0</v>
      </c>
      <c r="E16" s="4">
        <f t="shared" si="1"/>
        <v>2834.3</v>
      </c>
    </row>
    <row r="17">
      <c r="A17" s="1">
        <v>3.0</v>
      </c>
      <c r="B17" s="1">
        <v>23.0</v>
      </c>
      <c r="C17" s="1">
        <v>1.0</v>
      </c>
      <c r="D17" s="1">
        <v>100.0</v>
      </c>
      <c r="E17" s="4">
        <f t="shared" si="1"/>
        <v>970.08</v>
      </c>
    </row>
    <row r="18">
      <c r="A18" s="1">
        <v>4.0</v>
      </c>
      <c r="B18" s="1">
        <v>78.0</v>
      </c>
      <c r="C18" s="1">
        <v>7.0</v>
      </c>
      <c r="D18" s="1">
        <v>267.0</v>
      </c>
      <c r="E18" s="4">
        <f t="shared" si="1"/>
        <v>3897.85</v>
      </c>
    </row>
    <row r="19">
      <c r="A19" s="1">
        <v>5.0</v>
      </c>
      <c r="B19" s="1">
        <v>12.0</v>
      </c>
      <c r="C19" s="1">
        <v>1.0</v>
      </c>
      <c r="D19" s="1">
        <v>130.0</v>
      </c>
      <c r="E19" s="4">
        <f t="shared" si="1"/>
        <v>703.6</v>
      </c>
    </row>
    <row r="20">
      <c r="A20" s="1">
        <v>6.0</v>
      </c>
      <c r="B20" s="1">
        <v>18.0</v>
      </c>
      <c r="C20" s="1">
        <v>1.0</v>
      </c>
      <c r="D20" s="1">
        <v>129.0</v>
      </c>
      <c r="E20" s="4">
        <f t="shared" si="1"/>
        <v>900.19</v>
      </c>
    </row>
    <row r="21">
      <c r="A21" s="1">
        <v>7.0</v>
      </c>
      <c r="B21" s="1">
        <v>45.0</v>
      </c>
      <c r="C21" s="1">
        <v>2.0</v>
      </c>
      <c r="D21" s="1">
        <v>167.0</v>
      </c>
      <c r="E21" s="4">
        <f t="shared" si="1"/>
        <v>1979.81</v>
      </c>
    </row>
    <row r="22">
      <c r="A22" s="1">
        <v>8.0</v>
      </c>
      <c r="B22" s="1">
        <v>26.0</v>
      </c>
      <c r="C22" s="1">
        <v>2.0</v>
      </c>
      <c r="D22" s="1">
        <v>189.0</v>
      </c>
      <c r="E22" s="4">
        <f t="shared" si="1"/>
        <v>1381.57</v>
      </c>
    </row>
    <row r="23">
      <c r="A23" s="1">
        <v>9.0</v>
      </c>
      <c r="B23" s="1">
        <v>30.0</v>
      </c>
      <c r="C23" s="1">
        <v>3.0</v>
      </c>
      <c r="D23" s="1">
        <v>345.0</v>
      </c>
      <c r="E23" s="4">
        <f t="shared" si="1"/>
        <v>1854.87</v>
      </c>
    </row>
    <row r="24">
      <c r="E24" s="4"/>
    </row>
    <row r="25">
      <c r="D25" s="1" t="s">
        <v>60</v>
      </c>
      <c r="E25" s="4">
        <f>SUM(E15:E23)</f>
        <v>17773.13</v>
      </c>
    </row>
  </sheetData>
  <mergeCells count="2">
    <mergeCell ref="A7:A9"/>
    <mergeCell ref="B7:B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4" max="4" width="21.75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>
      <c r="A2" s="1">
        <v>1.0</v>
      </c>
      <c r="B2" s="1">
        <v>78.0</v>
      </c>
      <c r="C2" s="1">
        <v>3.0</v>
      </c>
      <c r="D2" s="1">
        <v>200.0</v>
      </c>
      <c r="E2" s="4">
        <f>('Аркуш7'!$C$5+'Аркуш7'!$C$6+'Аркуш7'!$C$10)*C2+('Аркуш7'!$C$11+'Аркуш7'!$C$4)*B2+IFS(D2&lt;=100,'Аркуш7'!$C$7*D2,AND(D2&gt;100,D2&lt;600),'Аркуш7'!$C$8*D2,D2&gt;=600,D2*'Аркуш7'!$C$9)</f>
        <v>3250.86</v>
      </c>
      <c r="I2" s="4"/>
    </row>
    <row r="3">
      <c r="A3" s="1">
        <v>2.0</v>
      </c>
      <c r="B3" s="1">
        <v>60.0</v>
      </c>
      <c r="C3" s="1">
        <v>5.0</v>
      </c>
      <c r="D3" s="1">
        <v>120.0</v>
      </c>
      <c r="E3" s="4">
        <f>('Аркуш7'!$C$5+'Аркуш7'!$C$6+'Аркуш7'!$C$10)*C3+('Аркуш7'!$C$11+'Аркуш7'!$C$4)*B3+IFS(D3&lt;=100,'Аркуш7'!$C$7*D3,AND(D3&gt;100,D3&lt;600),'Аркуш7'!$C$8*D3,D3&gt;=600,D3*'Аркуш7'!$C$9)</f>
        <v>2834.3</v>
      </c>
    </row>
    <row r="4">
      <c r="A4" s="1">
        <v>3.0</v>
      </c>
      <c r="B4" s="1">
        <v>23.0</v>
      </c>
      <c r="C4" s="1">
        <v>1.0</v>
      </c>
      <c r="D4" s="1">
        <v>100.0</v>
      </c>
      <c r="E4" s="4">
        <f>('Аркуш7'!$C$5+'Аркуш7'!$C$6+'Аркуш7'!$C$10)*C4+('Аркуш7'!$C$11+'Аркуш7'!$C$4)*B4+IFS(D4&lt;=100,'Аркуш7'!$C$7*D4,And(D4&gt;100,D4&lt;600),'Аркуш7'!$C$8*D4,D4&gt;=600,D4*'Аркуш7'!$C$9)</f>
        <v>970.08</v>
      </c>
    </row>
    <row r="5">
      <c r="A5" s="1">
        <v>4.0</v>
      </c>
      <c r="B5" s="1">
        <v>78.0</v>
      </c>
      <c r="C5" s="1">
        <v>7.0</v>
      </c>
      <c r="D5" s="1">
        <v>267.0</v>
      </c>
      <c r="E5" s="4">
        <f>('Аркуш7'!$C$5+'Аркуш7'!$C$6+'Аркуш7'!$C$10)*C5+('Аркуш7'!$C$11+'Аркуш7'!$C$4)*B5+IFS(D5&lt;=100,'Аркуш7'!$C$7*D5,AND(D5&gt;100,D5&lt;600),'Аркуш7'!$C$8*D5,D5&gt;=600,D5*'Аркуш7'!$C$9)</f>
        <v>3897.85</v>
      </c>
    </row>
    <row r="6">
      <c r="A6" s="1">
        <v>5.0</v>
      </c>
      <c r="B6" s="1">
        <v>12.0</v>
      </c>
      <c r="C6" s="1">
        <v>1.0</v>
      </c>
      <c r="D6" s="1">
        <v>130.0</v>
      </c>
      <c r="E6" s="4">
        <f>('Аркуш7'!$C$5+'Аркуш7'!$C$6+'Аркуш7'!$C$10)*C6+('Аркуш7'!$C$11+'Аркуш7'!$C$4)*B6+IFS(D6&lt;=100,'Аркуш7'!$C$7*D6,AND(D6&gt;100,D6&lt;600),'Аркуш7'!$C$8*D6,D6&gt;=600,D6*'Аркуш7'!$C$9)</f>
        <v>703.6</v>
      </c>
    </row>
    <row r="7">
      <c r="A7" s="1">
        <v>6.0</v>
      </c>
      <c r="B7" s="1">
        <v>18.0</v>
      </c>
      <c r="C7" s="1">
        <v>1.0</v>
      </c>
      <c r="D7" s="1">
        <v>129.0</v>
      </c>
      <c r="E7" s="4">
        <f>('Аркуш7'!$C$5+'Аркуш7'!$C$6+'Аркуш7'!$C$10)*C7+('Аркуш7'!$C$11+'Аркуш7'!$C$4)*B7+IFS(D7&lt;=100,'Аркуш7'!$C$7*D7,AND(D7&gt;100,D7&lt;600),'Аркуш7'!$C$8*D7,D7&gt;=600,D7*'Аркуш7'!$C$9)</f>
        <v>900.19</v>
      </c>
    </row>
    <row r="8">
      <c r="A8" s="1">
        <v>7.0</v>
      </c>
      <c r="B8" s="1">
        <v>45.0</v>
      </c>
      <c r="C8" s="1">
        <v>2.0</v>
      </c>
      <c r="D8" s="1">
        <v>167.0</v>
      </c>
      <c r="E8" s="4">
        <f>('Аркуш7'!$C$5+'Аркуш7'!$C$6+'Аркуш7'!$C$10)*C8+('Аркуш7'!$C$11+'Аркуш7'!$C$4)*B8+IFS(D8&lt;=100,'Аркуш7'!$C$7*D8,AND(D8&gt;100,D8&lt;600),'Аркуш7'!$C$8*D8,D8&gt;=600,D8*'Аркуш7'!$C$9)</f>
        <v>1979.81</v>
      </c>
    </row>
    <row r="9">
      <c r="A9" s="1">
        <v>8.0</v>
      </c>
      <c r="B9" s="1">
        <v>26.0</v>
      </c>
      <c r="C9" s="1">
        <v>2.0</v>
      </c>
      <c r="D9" s="1">
        <v>189.0</v>
      </c>
      <c r="E9" s="4">
        <f>('Аркуш7'!$C$5+'Аркуш7'!$C$6+'Аркуш7'!$C$10)*C9+('Аркуш7'!$C$11+'Аркуш7'!$C$4)*B9+IFS(D9&lt;=100,'Аркуш7'!$C$7*D9,AND(D9&gt;100,D9&lt;600),'Аркуш7'!$C$8*D9,D9&gt;=600,D9*'Аркуш7'!$C$9)</f>
        <v>1381.57</v>
      </c>
      <c r="F9" s="4">
        <f>E6</f>
        <v>703.6</v>
      </c>
    </row>
    <row r="10">
      <c r="A10" s="1">
        <v>9.0</v>
      </c>
      <c r="B10" s="1">
        <v>30.0</v>
      </c>
      <c r="C10" s="1">
        <v>3.0</v>
      </c>
      <c r="D10" s="1">
        <v>345.0</v>
      </c>
      <c r="E10" s="4">
        <f>('Аркуш7'!$C$5+'Аркуш7'!$C$6+'Аркуш7'!$C$10)*C10+('Аркуш7'!$C$11+'Аркуш7'!$C$4)*B10+IFS(D10&lt;=100,'Аркуш7'!$C$7*D10,AND(D10&gt;100,D10&lt;600),'Аркуш7'!$C$8*D10,D10&gt;=600,D10*'Аркуш7'!$C$9)</f>
        <v>1854.87</v>
      </c>
    </row>
    <row r="11">
      <c r="E11" s="4"/>
    </row>
    <row r="12">
      <c r="D12" s="1" t="s">
        <v>60</v>
      </c>
      <c r="E12" s="4">
        <f>SUM(E2:E10)</f>
        <v>17773.13</v>
      </c>
    </row>
  </sheetData>
  <drawing r:id="rId1"/>
</worksheet>
</file>