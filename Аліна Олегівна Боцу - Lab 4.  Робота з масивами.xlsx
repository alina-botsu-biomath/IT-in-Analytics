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_7_9" sheetId="1" r:id="rId5"/>
    <sheet state="visible" name=" r_3_11" sheetId="2" r:id="rId6"/>
    <sheet state="visible" name=" r_6_4" sheetId="3" r:id="rId7"/>
    <sheet state="visible" name="r_1_5" sheetId="4" r:id="rId8"/>
    <sheet state="visible" name="2.Операції с масивами" sheetId="5" r:id="rId9"/>
    <sheet state="visible" name="Аркуш6" sheetId="6" r:id="rId10"/>
  </sheets>
  <definedNames/>
  <calcPr/>
</workbook>
</file>

<file path=xl/sharedStrings.xml><?xml version="1.0" encoding="utf-8"?>
<sst xmlns="http://schemas.openxmlformats.org/spreadsheetml/2006/main" count="71" uniqueCount="49">
  <si>
    <t>3) зола</t>
  </si>
  <si>
    <t>7) Флаваноїди</t>
  </si>
  <si>
    <t>6) Загальні феноли</t>
  </si>
  <si>
    <t>11) Відтінок</t>
  </si>
  <si>
    <t>1) Алкоголь</t>
  </si>
  <si>
    <t>4) Лужність золи</t>
  </si>
  <si>
    <t>5) Магній</t>
  </si>
  <si>
    <t>6)*4)</t>
  </si>
  <si>
    <t>9) Проантоціани</t>
  </si>
  <si>
    <t>1)*5)</t>
  </si>
  <si>
    <t>3)*11)</t>
  </si>
  <si>
    <t>7)*9)</t>
  </si>
  <si>
    <t>7)^2</t>
  </si>
  <si>
    <t>6)^2</t>
  </si>
  <si>
    <t>3)^2</t>
  </si>
  <si>
    <t>1)^2</t>
  </si>
  <si>
    <t>9)^2</t>
  </si>
  <si>
    <t>11)^2</t>
  </si>
  <si>
    <t>5)^2</t>
  </si>
  <si>
    <t>A</t>
  </si>
  <si>
    <t xml:space="preserve"> B</t>
  </si>
  <si>
    <t>A\B</t>
  </si>
  <si>
    <t>4)^2</t>
  </si>
  <si>
    <t>N=</t>
  </si>
  <si>
    <t>Зазвичай зв’язок вважається
пiдтверджений, якщо rxy &gt; 0.6.</t>
  </si>
  <si>
    <t>Зазвичай зв’язок вважається
пiдтверджений, якщо rxy &gt; 0.6. Позитивнi значення
говорять про пряму залежнiсть,</t>
  </si>
  <si>
    <t>Підтвердилась пряма залежність</t>
  </si>
  <si>
    <t>Негативні значення говорять про зворотню залежнiсть,</t>
  </si>
  <si>
    <t>Не підствердилась залежність, але якщо вона є то вона пряма</t>
  </si>
  <si>
    <t>Не підствердилась залежність, але якщо вона є то вона зворотня</t>
  </si>
  <si>
    <t>Sum</t>
  </si>
  <si>
    <t>Sum^2</t>
  </si>
  <si>
    <t>Y</t>
  </si>
  <si>
    <t>const</t>
  </si>
  <si>
    <t>X1</t>
  </si>
  <si>
    <t>X2</t>
  </si>
  <si>
    <t>X3</t>
  </si>
  <si>
    <t>X4</t>
  </si>
  <si>
    <t>X^T</t>
  </si>
  <si>
    <t>X^T*X</t>
  </si>
  <si>
    <t>(X^T*X)^-1</t>
  </si>
  <si>
    <t>y</t>
  </si>
  <si>
    <t>Linest</t>
  </si>
  <si>
    <t>(X^T*X)^-1 *X^T</t>
  </si>
  <si>
    <t>(X^T*X)^-1 *X^T * Y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</si>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</sst>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3C4043"/>
      <name val="Roboto"/>
    </font>
    <font>
      <sz val="9.0"/>
      <color rgb="FF000000"/>
      <name val="&quot;Google Sans Mono&quot;"/>
    </font>
    <font>
      <sz val="11.0"/>
      <color rgb="FF1F1F1F"/>
      <name val="&quot;Google Sans&quot;"/>
    </font>
    <font>
      <b/>
      <sz val="12.0"/>
      <color theme="1"/>
      <name val="&quot;Trebuchet MS&quot;"/>
    </font>
    <font>
      <sz val="11.0"/>
      <color theme="1"/>
      <name val="&quot;Trebuchet MS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Fill="1" applyFont="1"/>
    <xf borderId="0" fillId="3" fontId="2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4" fontId="6" numFmtId="0" xfId="0" applyAlignment="1" applyFill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0" fontId="2" numFmtId="164" xfId="0" applyFont="1" applyNumberFormat="1"/>
    <xf borderId="0" fillId="2" fontId="4" numFmtId="0" xfId="0" applyAlignment="1" applyFont="1">
      <alignment readingOrder="0"/>
    </xf>
    <xf borderId="0" fillId="5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10" max="10" width="28.63"/>
  </cols>
  <sheetData>
    <row r="1">
      <c r="B1" s="2" t="s">
        <v>1</v>
      </c>
      <c r="C1" s="2" t="s">
        <v>8</v>
      </c>
      <c r="D1" s="3" t="s">
        <v>11</v>
      </c>
      <c r="E1" s="3" t="s">
        <v>12</v>
      </c>
      <c r="F1" s="3" t="s">
        <v>16</v>
      </c>
      <c r="G1" s="3" t="s">
        <v>19</v>
      </c>
      <c r="H1" s="3" t="s">
        <v>20</v>
      </c>
      <c r="I1" s="3" t="s">
        <v>21</v>
      </c>
    </row>
    <row r="2">
      <c r="A2" s="3" t="s">
        <v>23</v>
      </c>
      <c r="B2" s="4">
        <v>3.06</v>
      </c>
      <c r="C2" s="4">
        <v>2.29</v>
      </c>
      <c r="D2" s="6">
        <f t="shared" ref="D2:D26" si="2">B2*C2</f>
        <v>7.0074</v>
      </c>
      <c r="E2" s="6">
        <f t="shared" ref="E2:F2" si="1">B2^2</f>
        <v>9.3636</v>
      </c>
      <c r="F2" s="6">
        <f t="shared" si="1"/>
        <v>5.2441</v>
      </c>
      <c r="G2" s="6">
        <f>A3*D27-B27*C27</f>
        <v>70.4275</v>
      </c>
      <c r="H2" s="6">
        <f>SQRT((A3*E27-B28)*(A3*F27-C28))</f>
        <v>115.4123446</v>
      </c>
      <c r="I2" s="6">
        <f>G2/H2</f>
        <v>0.6102250173</v>
      </c>
      <c r="J2" s="3" t="s">
        <v>25</v>
      </c>
      <c r="K2" s="7"/>
    </row>
    <row r="3">
      <c r="A3" s="2">
        <f>COUNT(B1:B26)</f>
        <v>25</v>
      </c>
      <c r="B3" s="4">
        <v>2.76</v>
      </c>
      <c r="C3" s="4">
        <v>1.28</v>
      </c>
      <c r="D3" s="6">
        <f t="shared" si="2"/>
        <v>3.5328</v>
      </c>
      <c r="E3" s="6">
        <f t="shared" ref="E3:F3" si="3">B3^2</f>
        <v>7.6176</v>
      </c>
      <c r="F3" s="6">
        <f t="shared" si="3"/>
        <v>1.6384</v>
      </c>
      <c r="I3" s="6">
        <f>CORREL(B2:B26,C2:C26)</f>
        <v>0.6102250173</v>
      </c>
      <c r="J3" s="9" t="s">
        <v>26</v>
      </c>
    </row>
    <row r="4">
      <c r="B4" s="4">
        <v>3.24</v>
      </c>
      <c r="C4" s="4">
        <v>2.81</v>
      </c>
      <c r="D4" s="6">
        <f t="shared" si="2"/>
        <v>9.1044</v>
      </c>
      <c r="E4" s="6">
        <f t="shared" ref="E4:F4" si="4">B4^2</f>
        <v>10.4976</v>
      </c>
      <c r="F4" s="6">
        <f t="shared" si="4"/>
        <v>7.8961</v>
      </c>
    </row>
    <row r="5">
      <c r="B5" s="4">
        <v>3.49</v>
      </c>
      <c r="C5" s="4">
        <v>2.18</v>
      </c>
      <c r="D5" s="6">
        <f t="shared" si="2"/>
        <v>7.6082</v>
      </c>
      <c r="E5" s="6">
        <f t="shared" ref="E5:F5" si="5">B5^2</f>
        <v>12.1801</v>
      </c>
      <c r="F5" s="6">
        <f t="shared" si="5"/>
        <v>4.7524</v>
      </c>
    </row>
    <row r="6">
      <c r="B6" s="4">
        <v>2.69</v>
      </c>
      <c r="C6" s="4">
        <v>1.82</v>
      </c>
      <c r="D6" s="6">
        <f t="shared" si="2"/>
        <v>4.8958</v>
      </c>
      <c r="E6" s="6">
        <f t="shared" ref="E6:F6" si="6">B6^2</f>
        <v>7.2361</v>
      </c>
      <c r="F6" s="6">
        <f t="shared" si="6"/>
        <v>3.3124</v>
      </c>
    </row>
    <row r="7">
      <c r="B7" s="4">
        <v>3.39</v>
      </c>
      <c r="C7" s="4">
        <v>1.97</v>
      </c>
      <c r="D7" s="6">
        <f t="shared" si="2"/>
        <v>6.6783</v>
      </c>
      <c r="E7" s="6">
        <f t="shared" ref="E7:F7" si="7">B7^2</f>
        <v>11.4921</v>
      </c>
      <c r="F7" s="6">
        <f t="shared" si="7"/>
        <v>3.8809</v>
      </c>
    </row>
    <row r="8">
      <c r="B8" s="4">
        <v>2.52</v>
      </c>
      <c r="C8" s="4">
        <v>1.98</v>
      </c>
      <c r="D8" s="6">
        <f t="shared" si="2"/>
        <v>4.9896</v>
      </c>
      <c r="E8" s="6">
        <f t="shared" ref="E8:F8" si="8">B8^2</f>
        <v>6.3504</v>
      </c>
      <c r="F8" s="6">
        <f t="shared" si="8"/>
        <v>3.9204</v>
      </c>
    </row>
    <row r="9">
      <c r="B9" s="4">
        <v>2.51</v>
      </c>
      <c r="C9" s="4">
        <v>1.25</v>
      </c>
      <c r="D9" s="6">
        <f t="shared" si="2"/>
        <v>3.1375</v>
      </c>
      <c r="E9" s="6">
        <f t="shared" ref="E9:F9" si="9">B9^2</f>
        <v>6.3001</v>
      </c>
      <c r="F9" s="6">
        <f t="shared" si="9"/>
        <v>1.5625</v>
      </c>
    </row>
    <row r="10">
      <c r="B10" s="4">
        <v>2.98</v>
      </c>
      <c r="C10" s="4">
        <v>1.98</v>
      </c>
      <c r="D10" s="6">
        <f t="shared" si="2"/>
        <v>5.9004</v>
      </c>
      <c r="E10" s="6">
        <f t="shared" ref="E10:F10" si="10">B10^2</f>
        <v>8.8804</v>
      </c>
      <c r="F10" s="6">
        <f t="shared" si="10"/>
        <v>3.9204</v>
      </c>
    </row>
    <row r="11">
      <c r="B11" s="4">
        <v>3.15</v>
      </c>
      <c r="C11" s="4">
        <v>1.85</v>
      </c>
      <c r="D11" s="6">
        <f t="shared" si="2"/>
        <v>5.8275</v>
      </c>
      <c r="E11" s="6">
        <f t="shared" ref="E11:F11" si="11">B11^2</f>
        <v>9.9225</v>
      </c>
      <c r="F11" s="6">
        <f t="shared" si="11"/>
        <v>3.4225</v>
      </c>
    </row>
    <row r="12">
      <c r="B12" s="4">
        <v>3.32</v>
      </c>
      <c r="C12" s="4">
        <v>2.38</v>
      </c>
      <c r="D12" s="6">
        <f t="shared" si="2"/>
        <v>7.9016</v>
      </c>
      <c r="E12" s="6">
        <f t="shared" ref="E12:F12" si="12">B12^2</f>
        <v>11.0224</v>
      </c>
      <c r="F12" s="6">
        <f t="shared" si="12"/>
        <v>5.6644</v>
      </c>
    </row>
    <row r="13">
      <c r="B13" s="4">
        <v>2.43</v>
      </c>
      <c r="C13" s="4">
        <v>1.57</v>
      </c>
      <c r="D13" s="6">
        <f t="shared" si="2"/>
        <v>3.8151</v>
      </c>
      <c r="E13" s="6">
        <f t="shared" ref="E13:F13" si="13">B13^2</f>
        <v>5.9049</v>
      </c>
      <c r="F13" s="6">
        <f t="shared" si="13"/>
        <v>2.4649</v>
      </c>
    </row>
    <row r="14">
      <c r="B14" s="4">
        <v>2.76</v>
      </c>
      <c r="C14" s="4">
        <v>1.81</v>
      </c>
      <c r="D14" s="6">
        <f t="shared" si="2"/>
        <v>4.9956</v>
      </c>
      <c r="E14" s="6">
        <f t="shared" ref="E14:F14" si="14">B14^2</f>
        <v>7.6176</v>
      </c>
      <c r="F14" s="6">
        <f t="shared" si="14"/>
        <v>3.2761</v>
      </c>
    </row>
    <row r="15">
      <c r="B15" s="4">
        <v>3.69</v>
      </c>
      <c r="C15" s="4">
        <v>2.81</v>
      </c>
      <c r="D15" s="6">
        <f t="shared" si="2"/>
        <v>10.3689</v>
      </c>
      <c r="E15" s="6">
        <f t="shared" ref="E15:F15" si="15">B15^2</f>
        <v>13.6161</v>
      </c>
      <c r="F15" s="6">
        <f t="shared" si="15"/>
        <v>7.8961</v>
      </c>
    </row>
    <row r="16">
      <c r="B16" s="4">
        <v>3.64</v>
      </c>
      <c r="C16" s="4">
        <v>2.96</v>
      </c>
      <c r="D16" s="6">
        <f t="shared" si="2"/>
        <v>10.7744</v>
      </c>
      <c r="E16" s="6">
        <f t="shared" ref="E16:F16" si="16">B16^2</f>
        <v>13.2496</v>
      </c>
      <c r="F16" s="6">
        <f t="shared" si="16"/>
        <v>8.7616</v>
      </c>
    </row>
    <row r="17">
      <c r="B17" s="4">
        <v>2.91</v>
      </c>
      <c r="C17" s="4">
        <v>1.46</v>
      </c>
      <c r="D17" s="6">
        <f t="shared" si="2"/>
        <v>4.2486</v>
      </c>
      <c r="E17" s="6">
        <f t="shared" ref="E17:F17" si="17">B17^2</f>
        <v>8.4681</v>
      </c>
      <c r="F17" s="6">
        <f t="shared" si="17"/>
        <v>2.1316</v>
      </c>
    </row>
    <row r="18">
      <c r="B18" s="4">
        <v>3.14</v>
      </c>
      <c r="C18" s="4">
        <v>1.97</v>
      </c>
      <c r="D18" s="6">
        <f t="shared" si="2"/>
        <v>6.1858</v>
      </c>
      <c r="E18" s="6">
        <f t="shared" ref="E18:F18" si="18">B18^2</f>
        <v>9.8596</v>
      </c>
      <c r="F18" s="6">
        <f t="shared" si="18"/>
        <v>3.8809</v>
      </c>
    </row>
    <row r="19">
      <c r="B19" s="4">
        <v>3.4</v>
      </c>
      <c r="C19" s="4">
        <v>1.72</v>
      </c>
      <c r="D19" s="6">
        <f t="shared" si="2"/>
        <v>5.848</v>
      </c>
      <c r="E19" s="6">
        <f t="shared" ref="E19:F19" si="19">B19^2</f>
        <v>11.56</v>
      </c>
      <c r="F19" s="6">
        <f t="shared" si="19"/>
        <v>2.9584</v>
      </c>
    </row>
    <row r="20">
      <c r="B20" s="4">
        <v>3.93</v>
      </c>
      <c r="C20" s="4">
        <v>1.86</v>
      </c>
      <c r="D20" s="6">
        <f t="shared" si="2"/>
        <v>7.3098</v>
      </c>
      <c r="E20" s="6">
        <f t="shared" ref="E20:F20" si="20">B20^2</f>
        <v>15.4449</v>
      </c>
      <c r="F20" s="6">
        <f t="shared" si="20"/>
        <v>3.4596</v>
      </c>
    </row>
    <row r="21">
      <c r="B21" s="4">
        <v>3.03</v>
      </c>
      <c r="C21" s="4">
        <v>1.66</v>
      </c>
      <c r="D21" s="6">
        <f t="shared" si="2"/>
        <v>5.0298</v>
      </c>
      <c r="E21" s="6">
        <f t="shared" ref="E21:F21" si="21">B21^2</f>
        <v>9.1809</v>
      </c>
      <c r="F21" s="6">
        <f t="shared" si="21"/>
        <v>2.7556</v>
      </c>
    </row>
    <row r="22">
      <c r="B22" s="4">
        <v>3.17</v>
      </c>
      <c r="C22" s="4">
        <v>2.1</v>
      </c>
      <c r="D22" s="6">
        <f t="shared" si="2"/>
        <v>6.657</v>
      </c>
      <c r="E22" s="6">
        <f t="shared" ref="E22:F22" si="22">B22^2</f>
        <v>10.0489</v>
      </c>
      <c r="F22" s="6">
        <f t="shared" si="22"/>
        <v>4.41</v>
      </c>
    </row>
    <row r="23">
      <c r="B23" s="4">
        <v>2.41</v>
      </c>
      <c r="C23" s="4">
        <v>1.98</v>
      </c>
      <c r="D23" s="6">
        <f t="shared" si="2"/>
        <v>4.7718</v>
      </c>
      <c r="E23" s="6">
        <f t="shared" ref="E23:F23" si="23">B23^2</f>
        <v>5.8081</v>
      </c>
      <c r="F23" s="6">
        <f t="shared" si="23"/>
        <v>3.9204</v>
      </c>
    </row>
    <row r="24">
      <c r="B24" s="4">
        <v>2.88</v>
      </c>
      <c r="C24" s="4">
        <v>1.69</v>
      </c>
      <c r="D24" s="6">
        <f t="shared" si="2"/>
        <v>4.8672</v>
      </c>
      <c r="E24" s="6">
        <f t="shared" ref="E24:F24" si="24">B24^2</f>
        <v>8.2944</v>
      </c>
      <c r="F24" s="6">
        <f t="shared" si="24"/>
        <v>2.8561</v>
      </c>
    </row>
    <row r="25">
      <c r="B25" s="4">
        <v>2.37</v>
      </c>
      <c r="C25" s="4">
        <v>1.46</v>
      </c>
      <c r="D25" s="6">
        <f t="shared" si="2"/>
        <v>3.4602</v>
      </c>
      <c r="E25" s="6">
        <f t="shared" ref="E25:F25" si="25">B25^2</f>
        <v>5.6169</v>
      </c>
      <c r="F25" s="6">
        <f t="shared" si="25"/>
        <v>2.1316</v>
      </c>
    </row>
    <row r="26">
      <c r="B26" s="4">
        <v>2.61</v>
      </c>
      <c r="C26" s="4">
        <v>1.66</v>
      </c>
      <c r="D26" s="6">
        <f t="shared" si="2"/>
        <v>4.3326</v>
      </c>
      <c r="E26" s="6">
        <f t="shared" ref="E26:F26" si="26">B26^2</f>
        <v>6.8121</v>
      </c>
      <c r="F26" s="6">
        <f t="shared" si="26"/>
        <v>2.7556</v>
      </c>
    </row>
    <row r="27">
      <c r="A27" s="1" t="s">
        <v>30</v>
      </c>
      <c r="B27" s="6">
        <f t="shared" ref="B27:F27" si="27">SUM(B2:B26)</f>
        <v>75.48</v>
      </c>
      <c r="C27" s="6">
        <f t="shared" si="27"/>
        <v>48.5</v>
      </c>
      <c r="D27" s="6">
        <f t="shared" si="27"/>
        <v>149.2483</v>
      </c>
      <c r="E27" s="6">
        <f t="shared" si="27"/>
        <v>232.345</v>
      </c>
      <c r="F27" s="6">
        <f t="shared" si="27"/>
        <v>98.873</v>
      </c>
    </row>
    <row r="28">
      <c r="A28" s="3" t="s">
        <v>31</v>
      </c>
      <c r="B28" s="6">
        <f t="shared" ref="B28:C28" si="28">B27^2</f>
        <v>5697.2304</v>
      </c>
      <c r="C28" s="6">
        <f t="shared" si="28"/>
        <v>2352.25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3.88"/>
  </cols>
  <sheetData>
    <row r="1">
      <c r="B1" s="1" t="s">
        <v>0</v>
      </c>
      <c r="C1" s="1" t="s">
        <v>3</v>
      </c>
      <c r="D1" s="3" t="s">
        <v>10</v>
      </c>
      <c r="E1" s="3" t="s">
        <v>14</v>
      </c>
      <c r="F1" s="3" t="s">
        <v>17</v>
      </c>
      <c r="G1" s="3" t="s">
        <v>19</v>
      </c>
      <c r="H1" s="3" t="s">
        <v>20</v>
      </c>
      <c r="I1" s="3" t="s">
        <v>21</v>
      </c>
    </row>
    <row r="2">
      <c r="A2" s="3" t="s">
        <v>23</v>
      </c>
      <c r="B2" s="5">
        <v>2.43</v>
      </c>
      <c r="C2" s="5">
        <v>1.04</v>
      </c>
      <c r="D2" s="6">
        <f t="shared" ref="D2:D26" si="2">B2*C2</f>
        <v>2.5272</v>
      </c>
      <c r="E2" s="6">
        <f t="shared" ref="E2:F2" si="1">B2^2</f>
        <v>5.9049</v>
      </c>
      <c r="F2" s="6">
        <f t="shared" si="1"/>
        <v>1.0816</v>
      </c>
      <c r="G2" s="6">
        <f>A3*D27-B27*C27</f>
        <v>-1.1782</v>
      </c>
      <c r="H2" s="6">
        <f>SQRT((A3*E27-B28)*(A3*F27-C28))</f>
        <v>10.56842875</v>
      </c>
      <c r="I2" s="6">
        <f>G2/H2</f>
        <v>-0.1114829865</v>
      </c>
      <c r="J2" s="3" t="s">
        <v>24</v>
      </c>
    </row>
    <row r="3">
      <c r="A3" s="2">
        <f>COUNT(B1:B26)</f>
        <v>25</v>
      </c>
      <c r="B3" s="5">
        <v>2.14</v>
      </c>
      <c r="C3" s="5">
        <v>1.05</v>
      </c>
      <c r="D3" s="6">
        <f t="shared" si="2"/>
        <v>2.247</v>
      </c>
      <c r="E3" s="6">
        <f t="shared" ref="E3:F3" si="3">B3^2</f>
        <v>4.5796</v>
      </c>
      <c r="F3" s="6">
        <f t="shared" si="3"/>
        <v>1.1025</v>
      </c>
      <c r="I3" s="8">
        <f>CORREL(B2:B26,C2:C26)</f>
        <v>-0.1114829865</v>
      </c>
      <c r="J3" s="3" t="s">
        <v>27</v>
      </c>
    </row>
    <row r="4">
      <c r="B4" s="5">
        <v>2.67</v>
      </c>
      <c r="C4" s="5">
        <v>1.03</v>
      </c>
      <c r="D4" s="6">
        <f t="shared" si="2"/>
        <v>2.7501</v>
      </c>
      <c r="E4" s="6">
        <f t="shared" ref="E4:F4" si="4">B4^2</f>
        <v>7.1289</v>
      </c>
      <c r="F4" s="6">
        <f t="shared" si="4"/>
        <v>1.0609</v>
      </c>
      <c r="J4" s="9" t="s">
        <v>29</v>
      </c>
    </row>
    <row r="5">
      <c r="B5" s="5">
        <v>2.5</v>
      </c>
      <c r="C5" s="5">
        <v>0.86</v>
      </c>
      <c r="D5" s="6">
        <f t="shared" si="2"/>
        <v>2.15</v>
      </c>
      <c r="E5" s="6">
        <f t="shared" ref="E5:F5" si="5">B5^2</f>
        <v>6.25</v>
      </c>
      <c r="F5" s="6">
        <f t="shared" si="5"/>
        <v>0.7396</v>
      </c>
    </row>
    <row r="6">
      <c r="B6" s="5">
        <v>2.87</v>
      </c>
      <c r="C6" s="5">
        <v>1.04</v>
      </c>
      <c r="D6" s="6">
        <f t="shared" si="2"/>
        <v>2.9848</v>
      </c>
      <c r="E6" s="6">
        <f t="shared" ref="E6:F6" si="6">B6^2</f>
        <v>8.2369</v>
      </c>
      <c r="F6" s="6">
        <f t="shared" si="6"/>
        <v>1.0816</v>
      </c>
    </row>
    <row r="7">
      <c r="B7" s="5">
        <v>2.45</v>
      </c>
      <c r="C7" s="5">
        <v>1.05</v>
      </c>
      <c r="D7" s="6">
        <f t="shared" si="2"/>
        <v>2.5725</v>
      </c>
      <c r="E7" s="6">
        <f t="shared" ref="E7:F7" si="7">B7^2</f>
        <v>6.0025</v>
      </c>
      <c r="F7" s="6">
        <f t="shared" si="7"/>
        <v>1.1025</v>
      </c>
    </row>
    <row r="8">
      <c r="B8" s="5">
        <v>2.45</v>
      </c>
      <c r="C8" s="5">
        <v>1.02</v>
      </c>
      <c r="D8" s="6">
        <f t="shared" si="2"/>
        <v>2.499</v>
      </c>
      <c r="E8" s="6">
        <f t="shared" ref="E8:F8" si="8">B8^2</f>
        <v>6.0025</v>
      </c>
      <c r="F8" s="6">
        <f t="shared" si="8"/>
        <v>1.0404</v>
      </c>
    </row>
    <row r="9">
      <c r="B9" s="5">
        <v>2.61</v>
      </c>
      <c r="C9" s="5">
        <v>1.06</v>
      </c>
      <c r="D9" s="6">
        <f t="shared" si="2"/>
        <v>2.7666</v>
      </c>
      <c r="E9" s="6">
        <f t="shared" ref="E9:F9" si="9">B9^2</f>
        <v>6.8121</v>
      </c>
      <c r="F9" s="6">
        <f t="shared" si="9"/>
        <v>1.1236</v>
      </c>
    </row>
    <row r="10">
      <c r="B10" s="5">
        <v>2.17</v>
      </c>
      <c r="C10" s="5">
        <v>1.08</v>
      </c>
      <c r="D10" s="6">
        <f t="shared" si="2"/>
        <v>2.3436</v>
      </c>
      <c r="E10" s="6">
        <f t="shared" ref="E10:F10" si="10">B10^2</f>
        <v>4.7089</v>
      </c>
      <c r="F10" s="6">
        <f t="shared" si="10"/>
        <v>1.1664</v>
      </c>
    </row>
    <row r="11">
      <c r="B11" s="5">
        <v>2.27</v>
      </c>
      <c r="C11" s="5">
        <v>1.01</v>
      </c>
      <c r="D11" s="6">
        <f t="shared" si="2"/>
        <v>2.2927</v>
      </c>
      <c r="E11" s="6">
        <f t="shared" ref="E11:F11" si="11">B11^2</f>
        <v>5.1529</v>
      </c>
      <c r="F11" s="6">
        <f t="shared" si="11"/>
        <v>1.0201</v>
      </c>
    </row>
    <row r="12">
      <c r="B12" s="5">
        <v>2.3</v>
      </c>
      <c r="C12" s="5">
        <v>1.25</v>
      </c>
      <c r="D12" s="6">
        <f t="shared" si="2"/>
        <v>2.875</v>
      </c>
      <c r="E12" s="6">
        <f t="shared" ref="E12:F12" si="12">B12^2</f>
        <v>5.29</v>
      </c>
      <c r="F12" s="6">
        <f t="shared" si="12"/>
        <v>1.5625</v>
      </c>
    </row>
    <row r="13">
      <c r="B13" s="5">
        <v>2.32</v>
      </c>
      <c r="C13" s="5">
        <v>1.17</v>
      </c>
      <c r="D13" s="6">
        <f t="shared" si="2"/>
        <v>2.7144</v>
      </c>
      <c r="E13" s="6">
        <f t="shared" ref="E13:F13" si="13">B13^2</f>
        <v>5.3824</v>
      </c>
      <c r="F13" s="6">
        <f t="shared" si="13"/>
        <v>1.3689</v>
      </c>
    </row>
    <row r="14">
      <c r="B14" s="5">
        <v>2.41</v>
      </c>
      <c r="C14" s="5">
        <v>1.15</v>
      </c>
      <c r="D14" s="6">
        <f t="shared" si="2"/>
        <v>2.7715</v>
      </c>
      <c r="E14" s="6">
        <f t="shared" ref="E14:F14" si="14">B14^2</f>
        <v>5.8081</v>
      </c>
      <c r="F14" s="6">
        <f t="shared" si="14"/>
        <v>1.3225</v>
      </c>
    </row>
    <row r="15">
      <c r="B15" s="5">
        <v>2.39</v>
      </c>
      <c r="C15" s="5">
        <v>1.25</v>
      </c>
      <c r="D15" s="6">
        <f t="shared" si="2"/>
        <v>2.9875</v>
      </c>
      <c r="E15" s="6">
        <f t="shared" ref="E15:F15" si="15">B15^2</f>
        <v>5.7121</v>
      </c>
      <c r="F15" s="6">
        <f t="shared" si="15"/>
        <v>1.5625</v>
      </c>
    </row>
    <row r="16">
      <c r="B16" s="5">
        <v>2.38</v>
      </c>
      <c r="C16" s="5">
        <v>1.2</v>
      </c>
      <c r="D16" s="6">
        <f t="shared" si="2"/>
        <v>2.856</v>
      </c>
      <c r="E16" s="6">
        <f t="shared" ref="E16:F16" si="16">B16^2</f>
        <v>5.6644</v>
      </c>
      <c r="F16" s="6">
        <f t="shared" si="16"/>
        <v>1.44</v>
      </c>
    </row>
    <row r="17">
      <c r="B17" s="5">
        <v>2.7</v>
      </c>
      <c r="C17" s="5">
        <v>1.28</v>
      </c>
      <c r="D17" s="6">
        <f t="shared" si="2"/>
        <v>3.456</v>
      </c>
      <c r="E17" s="6">
        <f t="shared" ref="E17:F17" si="17">B17^2</f>
        <v>7.29</v>
      </c>
      <c r="F17" s="6">
        <f t="shared" si="17"/>
        <v>1.6384</v>
      </c>
    </row>
    <row r="18">
      <c r="B18" s="5">
        <v>2.72</v>
      </c>
      <c r="C18" s="5">
        <v>1.07</v>
      </c>
      <c r="D18" s="6">
        <f t="shared" si="2"/>
        <v>2.9104</v>
      </c>
      <c r="E18" s="6">
        <f t="shared" ref="E18:F18" si="18">B18^2</f>
        <v>7.3984</v>
      </c>
      <c r="F18" s="6">
        <f t="shared" si="18"/>
        <v>1.1449</v>
      </c>
    </row>
    <row r="19">
      <c r="B19" s="5">
        <v>2.62</v>
      </c>
      <c r="C19" s="5">
        <v>1.13</v>
      </c>
      <c r="D19" s="6">
        <f t="shared" si="2"/>
        <v>2.9606</v>
      </c>
      <c r="E19" s="6">
        <f t="shared" ref="E19:F19" si="19">B19^2</f>
        <v>6.8644</v>
      </c>
      <c r="F19" s="6">
        <f t="shared" si="19"/>
        <v>1.2769</v>
      </c>
    </row>
    <row r="20">
      <c r="B20" s="5">
        <v>2.48</v>
      </c>
      <c r="C20" s="5">
        <v>1.23</v>
      </c>
      <c r="D20" s="6">
        <f t="shared" si="2"/>
        <v>3.0504</v>
      </c>
      <c r="E20" s="6">
        <f t="shared" ref="E20:F20" si="20">B20^2</f>
        <v>6.1504</v>
      </c>
      <c r="F20" s="6">
        <f t="shared" si="20"/>
        <v>1.5129</v>
      </c>
    </row>
    <row r="21">
      <c r="B21" s="5">
        <v>2.56</v>
      </c>
      <c r="C21" s="5">
        <v>0.96</v>
      </c>
      <c r="D21" s="6">
        <f t="shared" si="2"/>
        <v>2.4576</v>
      </c>
      <c r="E21" s="6">
        <f t="shared" ref="E21:F21" si="21">B21^2</f>
        <v>6.5536</v>
      </c>
      <c r="F21" s="6">
        <f t="shared" si="21"/>
        <v>0.9216</v>
      </c>
    </row>
    <row r="22">
      <c r="B22" s="5">
        <v>2.28</v>
      </c>
      <c r="C22" s="5">
        <v>1.09</v>
      </c>
      <c r="D22" s="6">
        <f t="shared" si="2"/>
        <v>2.4852</v>
      </c>
      <c r="E22" s="6">
        <f t="shared" ref="E22:F22" si="22">B22^2</f>
        <v>5.1984</v>
      </c>
      <c r="F22" s="6">
        <f t="shared" si="22"/>
        <v>1.1881</v>
      </c>
    </row>
    <row r="23">
      <c r="B23" s="5">
        <v>2.65</v>
      </c>
      <c r="C23" s="5">
        <v>1.03</v>
      </c>
      <c r="D23" s="6">
        <f t="shared" si="2"/>
        <v>2.7295</v>
      </c>
      <c r="E23" s="6">
        <f t="shared" ref="E23:F23" si="23">B23^2</f>
        <v>7.0225</v>
      </c>
      <c r="F23" s="6">
        <f t="shared" si="23"/>
        <v>1.0609</v>
      </c>
    </row>
    <row r="24">
      <c r="B24" s="5">
        <v>2.36</v>
      </c>
      <c r="C24" s="5">
        <v>1.11</v>
      </c>
      <c r="D24" s="6">
        <f t="shared" si="2"/>
        <v>2.6196</v>
      </c>
      <c r="E24" s="6">
        <f t="shared" ref="E24:F24" si="24">B24^2</f>
        <v>5.5696</v>
      </c>
      <c r="F24" s="6">
        <f t="shared" si="24"/>
        <v>1.2321</v>
      </c>
    </row>
    <row r="25">
      <c r="B25" s="5">
        <v>2.52</v>
      </c>
      <c r="C25" s="5">
        <v>1.09</v>
      </c>
      <c r="D25" s="6">
        <f t="shared" si="2"/>
        <v>2.7468</v>
      </c>
      <c r="E25" s="6">
        <f t="shared" ref="E25:F25" si="25">B25^2</f>
        <v>6.3504</v>
      </c>
      <c r="F25" s="6">
        <f t="shared" si="25"/>
        <v>1.1881</v>
      </c>
    </row>
    <row r="26">
      <c r="B26" s="5">
        <v>2.61</v>
      </c>
      <c r="C26" s="5">
        <v>1.12</v>
      </c>
      <c r="D26" s="6">
        <f t="shared" si="2"/>
        <v>2.9232</v>
      </c>
      <c r="E26" s="6">
        <f t="shared" ref="E26:F26" si="26">B26^2</f>
        <v>6.8121</v>
      </c>
      <c r="F26" s="6">
        <f t="shared" si="26"/>
        <v>1.2544</v>
      </c>
    </row>
    <row r="27">
      <c r="A27" s="1" t="s">
        <v>30</v>
      </c>
      <c r="B27" s="6">
        <f t="shared" ref="B27:F27" si="27">SUM(B2:B26)</f>
        <v>61.86</v>
      </c>
      <c r="C27" s="6">
        <f t="shared" si="27"/>
        <v>27.37</v>
      </c>
      <c r="D27" s="6">
        <f t="shared" si="27"/>
        <v>67.6772</v>
      </c>
      <c r="E27" s="6">
        <f t="shared" si="27"/>
        <v>153.846</v>
      </c>
      <c r="F27" s="6">
        <f t="shared" si="27"/>
        <v>30.1939</v>
      </c>
    </row>
    <row r="28">
      <c r="A28" s="3" t="s">
        <v>31</v>
      </c>
      <c r="B28" s="6">
        <f t="shared" ref="B28:C28" si="28">B27^2</f>
        <v>3826.6596</v>
      </c>
      <c r="C28" s="6">
        <f t="shared" si="28"/>
        <v>749.1169</v>
      </c>
    </row>
    <row r="29">
      <c r="B29" s="2"/>
      <c r="C29" s="2"/>
    </row>
    <row r="30">
      <c r="B30" s="2"/>
      <c r="C30" s="2"/>
    </row>
    <row r="31">
      <c r="C31" s="2"/>
    </row>
    <row r="32">
      <c r="B32" s="2"/>
      <c r="C32" s="2"/>
    </row>
    <row r="33">
      <c r="B33" s="2"/>
      <c r="C33" s="2"/>
    </row>
    <row r="34">
      <c r="B34" s="2"/>
      <c r="C34" s="2"/>
    </row>
    <row r="35">
      <c r="B35" s="2"/>
      <c r="C35" s="2"/>
    </row>
    <row r="36">
      <c r="B36" s="2"/>
      <c r="C36" s="2"/>
    </row>
    <row r="37">
      <c r="B37" s="2"/>
      <c r="C37" s="2"/>
    </row>
    <row r="38">
      <c r="B38" s="2"/>
      <c r="C38" s="2"/>
    </row>
    <row r="39">
      <c r="B39" s="2"/>
      <c r="C39" s="2"/>
    </row>
    <row r="40">
      <c r="B40" s="2"/>
      <c r="C40" s="2"/>
    </row>
    <row r="41">
      <c r="B41" s="2"/>
      <c r="C41" s="2"/>
    </row>
    <row r="42">
      <c r="B42" s="2"/>
      <c r="C42" s="2"/>
    </row>
    <row r="43">
      <c r="B43" s="2"/>
      <c r="C43" s="2"/>
    </row>
    <row r="44">
      <c r="B44" s="2"/>
      <c r="C44" s="2"/>
    </row>
    <row r="45">
      <c r="B45" s="2"/>
      <c r="C45" s="2"/>
    </row>
    <row r="46">
      <c r="B46" s="2"/>
      <c r="C46" s="2"/>
    </row>
    <row r="47">
      <c r="B47" s="2"/>
      <c r="C47" s="2"/>
    </row>
    <row r="48">
      <c r="B48" s="2"/>
      <c r="C48" s="2"/>
    </row>
    <row r="49">
      <c r="B49" s="2"/>
      <c r="C49" s="2"/>
    </row>
    <row r="50">
      <c r="B50" s="2"/>
      <c r="C50" s="2"/>
    </row>
    <row r="51">
      <c r="B51" s="2"/>
      <c r="C51" s="2"/>
    </row>
    <row r="52">
      <c r="B52" s="2"/>
      <c r="C52" s="2"/>
    </row>
    <row r="53">
      <c r="B53" s="2"/>
      <c r="C53" s="2"/>
    </row>
    <row r="54">
      <c r="B54" s="2"/>
      <c r="C54" s="2"/>
    </row>
    <row r="55">
      <c r="B55" s="2"/>
      <c r="C55" s="2"/>
    </row>
    <row r="56">
      <c r="B56" s="2"/>
      <c r="C56" s="2"/>
    </row>
    <row r="57">
      <c r="B57" s="2"/>
      <c r="C57" s="2"/>
    </row>
    <row r="58">
      <c r="B58" s="2"/>
      <c r="C58" s="2"/>
    </row>
    <row r="59">
      <c r="B59" s="2"/>
      <c r="C59" s="2"/>
    </row>
    <row r="60">
      <c r="B60" s="2"/>
      <c r="C60" s="2"/>
    </row>
    <row r="61">
      <c r="B61" s="2"/>
      <c r="C61" s="2"/>
    </row>
    <row r="62">
      <c r="B62" s="2"/>
      <c r="C62" s="2"/>
    </row>
    <row r="63">
      <c r="B63" s="2"/>
      <c r="C63" s="2"/>
    </row>
    <row r="64">
      <c r="B64" s="2"/>
      <c r="C64" s="2"/>
    </row>
    <row r="65">
      <c r="B65" s="2"/>
      <c r="C65" s="2"/>
    </row>
    <row r="66">
      <c r="B66" s="2"/>
      <c r="C66" s="2"/>
    </row>
    <row r="67">
      <c r="B67" s="2"/>
      <c r="C67" s="2"/>
    </row>
    <row r="68">
      <c r="B68" s="2"/>
      <c r="C68" s="2"/>
    </row>
    <row r="69">
      <c r="B69" s="2"/>
      <c r="C69" s="2"/>
    </row>
    <row r="70">
      <c r="B70" s="2"/>
      <c r="C70" s="2"/>
    </row>
    <row r="71">
      <c r="B71" s="2"/>
      <c r="C71" s="2"/>
    </row>
    <row r="72">
      <c r="B72" s="2"/>
      <c r="C72" s="2"/>
    </row>
    <row r="73">
      <c r="B73" s="2"/>
      <c r="C73" s="2"/>
    </row>
    <row r="74">
      <c r="B74" s="2"/>
      <c r="C74" s="2"/>
    </row>
    <row r="75">
      <c r="B75" s="2"/>
      <c r="C75" s="2"/>
    </row>
    <row r="76">
      <c r="B76" s="2"/>
      <c r="C76" s="2"/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  <c r="C88" s="2"/>
    </row>
    <row r="89">
      <c r="B89" s="2"/>
      <c r="C89" s="2"/>
    </row>
    <row r="90">
      <c r="B90" s="2"/>
      <c r="C90" s="2"/>
    </row>
    <row r="91">
      <c r="B91" s="2"/>
      <c r="C91" s="2"/>
    </row>
    <row r="92">
      <c r="B92" s="2"/>
      <c r="C92" s="2"/>
    </row>
    <row r="93">
      <c r="B93" s="2"/>
      <c r="C93" s="2"/>
    </row>
    <row r="94">
      <c r="B94" s="2"/>
      <c r="C94" s="2"/>
    </row>
    <row r="95">
      <c r="B95" s="2"/>
      <c r="C95" s="2"/>
    </row>
    <row r="96">
      <c r="B96" s="2"/>
      <c r="C96" s="2"/>
    </row>
    <row r="97">
      <c r="B97" s="2"/>
      <c r="C97" s="2"/>
    </row>
    <row r="98">
      <c r="B98" s="2"/>
      <c r="C98" s="2"/>
    </row>
    <row r="99">
      <c r="B99" s="2"/>
      <c r="C99" s="2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7.63"/>
  </cols>
  <sheetData>
    <row r="1">
      <c r="B1" s="1" t="s">
        <v>2</v>
      </c>
      <c r="C1" s="1" t="s">
        <v>5</v>
      </c>
      <c r="D1" s="3" t="s">
        <v>7</v>
      </c>
      <c r="E1" s="3" t="s">
        <v>13</v>
      </c>
      <c r="F1" s="3" t="s">
        <v>22</v>
      </c>
      <c r="G1" s="3" t="s">
        <v>19</v>
      </c>
      <c r="H1" s="3" t="s">
        <v>20</v>
      </c>
      <c r="I1" s="3" t="s">
        <v>21</v>
      </c>
    </row>
    <row r="2">
      <c r="A2" s="3" t="s">
        <v>23</v>
      </c>
      <c r="B2" s="5">
        <v>2.8</v>
      </c>
      <c r="C2" s="5">
        <v>15.6</v>
      </c>
      <c r="D2" s="6">
        <f t="shared" ref="D2:D26" si="2">B2*C2</f>
        <v>43.68</v>
      </c>
      <c r="E2" s="6">
        <f t="shared" ref="E2:F2" si="1">B2^2</f>
        <v>7.84</v>
      </c>
      <c r="F2" s="6">
        <f t="shared" si="1"/>
        <v>243.36</v>
      </c>
      <c r="G2" s="6">
        <f>A3*D27-B27*C27</f>
        <v>-112.291</v>
      </c>
      <c r="H2" s="6">
        <f>SQRT((A3*E27-B28)*(A3*F27-C28))</f>
        <v>542.8050665</v>
      </c>
      <c r="I2" s="6">
        <f>G2/H2</f>
        <v>-0.2068716873</v>
      </c>
      <c r="J2" s="3" t="s">
        <v>24</v>
      </c>
    </row>
    <row r="3">
      <c r="A3" s="2">
        <f>COUNT(B1:B26)</f>
        <v>25</v>
      </c>
      <c r="B3" s="5">
        <v>2.65</v>
      </c>
      <c r="C3" s="5">
        <v>11.2</v>
      </c>
      <c r="D3" s="6">
        <f t="shared" si="2"/>
        <v>29.68</v>
      </c>
      <c r="E3" s="6">
        <f t="shared" ref="E3:F3" si="3">B3^2</f>
        <v>7.0225</v>
      </c>
      <c r="F3" s="6">
        <f t="shared" si="3"/>
        <v>125.44</v>
      </c>
      <c r="I3" s="8">
        <f>CORREL(B2:B26,C2:C26)</f>
        <v>-0.2068716873</v>
      </c>
      <c r="J3" s="3" t="s">
        <v>27</v>
      </c>
    </row>
    <row r="4">
      <c r="B4" s="5">
        <v>2.8</v>
      </c>
      <c r="C4" s="5">
        <v>18.6</v>
      </c>
      <c r="D4" s="6">
        <f t="shared" si="2"/>
        <v>52.08</v>
      </c>
      <c r="E4" s="6">
        <f t="shared" ref="E4:F4" si="4">B4^2</f>
        <v>7.84</v>
      </c>
      <c r="F4" s="6">
        <f t="shared" si="4"/>
        <v>345.96</v>
      </c>
      <c r="J4" s="10" t="s">
        <v>29</v>
      </c>
    </row>
    <row r="5">
      <c r="B5" s="5">
        <v>3.85</v>
      </c>
      <c r="C5" s="5">
        <v>16.8</v>
      </c>
      <c r="D5" s="6">
        <f t="shared" si="2"/>
        <v>64.68</v>
      </c>
      <c r="E5" s="6">
        <f t="shared" ref="E5:F5" si="5">B5^2</f>
        <v>14.8225</v>
      </c>
      <c r="F5" s="6">
        <f t="shared" si="5"/>
        <v>282.24</v>
      </c>
    </row>
    <row r="6">
      <c r="B6" s="5">
        <v>2.8</v>
      </c>
      <c r="C6" s="5">
        <v>21.0</v>
      </c>
      <c r="D6" s="6">
        <f t="shared" si="2"/>
        <v>58.8</v>
      </c>
      <c r="E6" s="6">
        <f t="shared" ref="E6:F6" si="6">B6^2</f>
        <v>7.84</v>
      </c>
      <c r="F6" s="6">
        <f t="shared" si="6"/>
        <v>441</v>
      </c>
    </row>
    <row r="7">
      <c r="B7" s="5">
        <v>3.27</v>
      </c>
      <c r="C7" s="5">
        <v>15.2</v>
      </c>
      <c r="D7" s="6">
        <f t="shared" si="2"/>
        <v>49.704</v>
      </c>
      <c r="E7" s="6">
        <f t="shared" ref="E7:F7" si="7">B7^2</f>
        <v>10.6929</v>
      </c>
      <c r="F7" s="6">
        <f t="shared" si="7"/>
        <v>231.04</v>
      </c>
    </row>
    <row r="8">
      <c r="B8" s="5">
        <v>2.5</v>
      </c>
      <c r="C8" s="5">
        <v>14.6</v>
      </c>
      <c r="D8" s="6">
        <f t="shared" si="2"/>
        <v>36.5</v>
      </c>
      <c r="E8" s="6">
        <f t="shared" ref="E8:F8" si="8">B8^2</f>
        <v>6.25</v>
      </c>
      <c r="F8" s="6">
        <f t="shared" si="8"/>
        <v>213.16</v>
      </c>
    </row>
    <row r="9">
      <c r="B9" s="5">
        <v>2.6</v>
      </c>
      <c r="C9" s="5">
        <v>17.6</v>
      </c>
      <c r="D9" s="6">
        <f t="shared" si="2"/>
        <v>45.76</v>
      </c>
      <c r="E9" s="6">
        <f t="shared" ref="E9:F9" si="9">B9^2</f>
        <v>6.76</v>
      </c>
      <c r="F9" s="6">
        <f t="shared" si="9"/>
        <v>309.76</v>
      </c>
    </row>
    <row r="10">
      <c r="B10" s="5">
        <v>2.8</v>
      </c>
      <c r="C10" s="5">
        <v>14.0</v>
      </c>
      <c r="D10" s="6">
        <f t="shared" si="2"/>
        <v>39.2</v>
      </c>
      <c r="E10" s="6">
        <f t="shared" ref="E10:F10" si="10">B10^2</f>
        <v>7.84</v>
      </c>
      <c r="F10" s="6">
        <f t="shared" si="10"/>
        <v>196</v>
      </c>
    </row>
    <row r="11">
      <c r="B11" s="5">
        <v>2.98</v>
      </c>
      <c r="C11" s="5">
        <v>16.0</v>
      </c>
      <c r="D11" s="6">
        <f t="shared" si="2"/>
        <v>47.68</v>
      </c>
      <c r="E11" s="6">
        <f t="shared" ref="E11:F11" si="11">B11^2</f>
        <v>8.8804</v>
      </c>
      <c r="F11" s="6">
        <f t="shared" si="11"/>
        <v>256</v>
      </c>
    </row>
    <row r="12">
      <c r="B12" s="5">
        <v>2.95</v>
      </c>
      <c r="C12" s="5">
        <v>18.0</v>
      </c>
      <c r="D12" s="6">
        <f t="shared" si="2"/>
        <v>53.1</v>
      </c>
      <c r="E12" s="6">
        <f t="shared" ref="E12:F12" si="12">B12^2</f>
        <v>8.7025</v>
      </c>
      <c r="F12" s="6">
        <f t="shared" si="12"/>
        <v>324</v>
      </c>
    </row>
    <row r="13">
      <c r="B13" s="5">
        <v>2.2</v>
      </c>
      <c r="C13" s="5">
        <v>16.8</v>
      </c>
      <c r="D13" s="6">
        <f t="shared" si="2"/>
        <v>36.96</v>
      </c>
      <c r="E13" s="6">
        <f t="shared" ref="E13:F13" si="13">B13^2</f>
        <v>4.84</v>
      </c>
      <c r="F13" s="6">
        <f t="shared" si="13"/>
        <v>282.24</v>
      </c>
    </row>
    <row r="14">
      <c r="B14" s="5">
        <v>2.6</v>
      </c>
      <c r="C14" s="5">
        <v>16.0</v>
      </c>
      <c r="D14" s="6">
        <f t="shared" si="2"/>
        <v>41.6</v>
      </c>
      <c r="E14" s="6">
        <f t="shared" ref="E14:F14" si="14">B14^2</f>
        <v>6.76</v>
      </c>
      <c r="F14" s="6">
        <f t="shared" si="14"/>
        <v>256</v>
      </c>
    </row>
    <row r="15">
      <c r="B15" s="5">
        <v>3.1</v>
      </c>
      <c r="C15" s="5">
        <v>11.4</v>
      </c>
      <c r="D15" s="6">
        <f t="shared" si="2"/>
        <v>35.34</v>
      </c>
      <c r="E15" s="6">
        <f t="shared" ref="E15:F15" si="15">B15^2</f>
        <v>9.61</v>
      </c>
      <c r="F15" s="6">
        <f t="shared" si="15"/>
        <v>129.96</v>
      </c>
    </row>
    <row r="16">
      <c r="B16" s="5">
        <v>3.3</v>
      </c>
      <c r="C16" s="5">
        <v>12.0</v>
      </c>
      <c r="D16" s="6">
        <f t="shared" si="2"/>
        <v>39.6</v>
      </c>
      <c r="E16" s="6">
        <f t="shared" ref="E16:F16" si="16">B16^2</f>
        <v>10.89</v>
      </c>
      <c r="F16" s="6">
        <f t="shared" si="16"/>
        <v>144</v>
      </c>
    </row>
    <row r="17">
      <c r="B17" s="5">
        <v>2.85</v>
      </c>
      <c r="C17" s="5">
        <v>17.2</v>
      </c>
      <c r="D17" s="6">
        <f t="shared" si="2"/>
        <v>49.02</v>
      </c>
      <c r="E17" s="6">
        <f t="shared" ref="E17:F17" si="17">B17^2</f>
        <v>8.1225</v>
      </c>
      <c r="F17" s="6">
        <f t="shared" si="17"/>
        <v>295.84</v>
      </c>
    </row>
    <row r="18">
      <c r="B18" s="5">
        <v>2.8</v>
      </c>
      <c r="C18" s="5">
        <v>20.0</v>
      </c>
      <c r="D18" s="6">
        <f t="shared" si="2"/>
        <v>56</v>
      </c>
      <c r="E18" s="6">
        <f t="shared" ref="E18:F18" si="18">B18^2</f>
        <v>7.84</v>
      </c>
      <c r="F18" s="6">
        <f t="shared" si="18"/>
        <v>400</v>
      </c>
    </row>
    <row r="19">
      <c r="B19" s="5">
        <v>2.95</v>
      </c>
      <c r="C19" s="5">
        <v>20.0</v>
      </c>
      <c r="D19" s="6">
        <f t="shared" si="2"/>
        <v>59</v>
      </c>
      <c r="E19" s="6">
        <f t="shared" ref="E19:F19" si="19">B19^2</f>
        <v>8.7025</v>
      </c>
      <c r="F19" s="6">
        <f t="shared" si="19"/>
        <v>400</v>
      </c>
    </row>
    <row r="20">
      <c r="B20" s="5">
        <v>3.3</v>
      </c>
      <c r="C20" s="5">
        <v>16.5</v>
      </c>
      <c r="D20" s="6">
        <f t="shared" si="2"/>
        <v>54.45</v>
      </c>
      <c r="E20" s="6">
        <f t="shared" ref="E20:F20" si="20">B20^2</f>
        <v>10.89</v>
      </c>
      <c r="F20" s="6">
        <f t="shared" si="20"/>
        <v>272.25</v>
      </c>
    </row>
    <row r="21">
      <c r="B21" s="5">
        <v>2.7</v>
      </c>
      <c r="C21" s="5">
        <v>15.2</v>
      </c>
      <c r="D21" s="6">
        <f t="shared" si="2"/>
        <v>41.04</v>
      </c>
      <c r="E21" s="6">
        <f t="shared" ref="E21:F21" si="21">B21^2</f>
        <v>7.29</v>
      </c>
      <c r="F21" s="6">
        <f t="shared" si="21"/>
        <v>231.04</v>
      </c>
    </row>
    <row r="22">
      <c r="B22" s="5">
        <v>3.0</v>
      </c>
      <c r="C22" s="5">
        <v>16.0</v>
      </c>
      <c r="D22" s="6">
        <f t="shared" si="2"/>
        <v>48</v>
      </c>
      <c r="E22" s="6">
        <f t="shared" ref="E22:F22" si="22">B22^2</f>
        <v>9</v>
      </c>
      <c r="F22" s="6">
        <f t="shared" si="22"/>
        <v>256</v>
      </c>
    </row>
    <row r="23">
      <c r="B23" s="5">
        <v>2.41</v>
      </c>
      <c r="C23" s="5">
        <v>18.6</v>
      </c>
      <c r="D23" s="6">
        <f t="shared" si="2"/>
        <v>44.826</v>
      </c>
      <c r="E23" s="6">
        <f t="shared" ref="E23:F23" si="23">B23^2</f>
        <v>5.8081</v>
      </c>
      <c r="F23" s="6">
        <f t="shared" si="23"/>
        <v>345.96</v>
      </c>
    </row>
    <row r="24">
      <c r="B24" s="5">
        <v>2.61</v>
      </c>
      <c r="C24" s="5">
        <v>16.6</v>
      </c>
      <c r="D24" s="6">
        <f t="shared" si="2"/>
        <v>43.326</v>
      </c>
      <c r="E24" s="6">
        <f t="shared" ref="E24:F24" si="24">B24^2</f>
        <v>6.8121</v>
      </c>
      <c r="F24" s="6">
        <f t="shared" si="24"/>
        <v>275.56</v>
      </c>
    </row>
    <row r="25">
      <c r="B25" s="5">
        <v>2.48</v>
      </c>
      <c r="C25" s="5">
        <v>17.8</v>
      </c>
      <c r="D25" s="6">
        <f t="shared" si="2"/>
        <v>44.144</v>
      </c>
      <c r="E25" s="6">
        <f t="shared" ref="E25:F25" si="25">B25^2</f>
        <v>6.1504</v>
      </c>
      <c r="F25" s="6">
        <f t="shared" si="25"/>
        <v>316.84</v>
      </c>
    </row>
    <row r="26">
      <c r="B26" s="5">
        <v>2.53</v>
      </c>
      <c r="C26" s="5">
        <v>20.0</v>
      </c>
      <c r="D26" s="6">
        <f t="shared" si="2"/>
        <v>50.6</v>
      </c>
      <c r="E26" s="6">
        <f t="shared" ref="E26:F26" si="26">B26^2</f>
        <v>6.4009</v>
      </c>
      <c r="F26" s="6">
        <f t="shared" si="26"/>
        <v>400</v>
      </c>
    </row>
    <row r="27">
      <c r="A27" s="1" t="s">
        <v>30</v>
      </c>
      <c r="B27" s="6">
        <f t="shared" ref="B27:F27" si="27">SUM(B2:B26)</f>
        <v>70.83</v>
      </c>
      <c r="C27" s="6">
        <f t="shared" si="27"/>
        <v>412.7</v>
      </c>
      <c r="D27" s="6">
        <f t="shared" si="27"/>
        <v>1164.77</v>
      </c>
      <c r="E27" s="6">
        <f t="shared" si="27"/>
        <v>203.6073</v>
      </c>
      <c r="F27" s="6">
        <f t="shared" si="27"/>
        <v>6973.65</v>
      </c>
    </row>
    <row r="28">
      <c r="A28" s="3" t="s">
        <v>31</v>
      </c>
      <c r="B28" s="6">
        <f t="shared" ref="B28:C28" si="28">B27^2</f>
        <v>5016.8889</v>
      </c>
      <c r="C28" s="6">
        <f t="shared" si="28"/>
        <v>170321.29</v>
      </c>
    </row>
    <row r="29">
      <c r="B29" s="2"/>
      <c r="C29" s="2"/>
    </row>
    <row r="30">
      <c r="B30" s="2"/>
      <c r="C30" s="2"/>
    </row>
    <row r="31">
      <c r="C31" s="2"/>
    </row>
    <row r="32">
      <c r="B32" s="2"/>
      <c r="C32" s="2"/>
    </row>
    <row r="33">
      <c r="B33" s="2"/>
      <c r="C33" s="2"/>
    </row>
    <row r="34">
      <c r="B34" s="2"/>
      <c r="C34" s="2"/>
    </row>
    <row r="35">
      <c r="B35" s="2"/>
      <c r="C35" s="2"/>
    </row>
    <row r="36">
      <c r="B36" s="2"/>
      <c r="C36" s="2"/>
    </row>
    <row r="37">
      <c r="B37" s="2"/>
      <c r="C37" s="2"/>
    </row>
    <row r="38">
      <c r="B38" s="2"/>
      <c r="C38" s="2"/>
    </row>
    <row r="39">
      <c r="B39" s="2"/>
      <c r="C39" s="2"/>
    </row>
    <row r="40">
      <c r="B40" s="2"/>
      <c r="C40" s="2"/>
    </row>
    <row r="41">
      <c r="B41" s="2"/>
      <c r="C41" s="2"/>
    </row>
    <row r="42">
      <c r="B42" s="2"/>
      <c r="C42" s="2"/>
    </row>
    <row r="43">
      <c r="B43" s="2"/>
      <c r="C43" s="2"/>
    </row>
    <row r="44">
      <c r="B44" s="2"/>
      <c r="C44" s="2"/>
    </row>
    <row r="45">
      <c r="B45" s="2"/>
      <c r="C45" s="2"/>
    </row>
    <row r="46">
      <c r="B46" s="2"/>
      <c r="C46" s="2"/>
    </row>
    <row r="47">
      <c r="B47" s="2"/>
      <c r="C47" s="2"/>
    </row>
    <row r="48">
      <c r="B48" s="2"/>
      <c r="C48" s="2"/>
    </row>
    <row r="49">
      <c r="B49" s="2"/>
      <c r="C49" s="2"/>
    </row>
    <row r="50">
      <c r="B50" s="2"/>
      <c r="C50" s="2"/>
    </row>
    <row r="51">
      <c r="B51" s="2"/>
      <c r="C51" s="2"/>
    </row>
    <row r="52">
      <c r="B52" s="2"/>
      <c r="C52" s="2"/>
    </row>
    <row r="53">
      <c r="B53" s="2"/>
      <c r="C53" s="2"/>
    </row>
    <row r="54">
      <c r="B54" s="2"/>
      <c r="C54" s="2"/>
    </row>
    <row r="55">
      <c r="B55" s="2"/>
      <c r="C55" s="2"/>
    </row>
    <row r="56">
      <c r="B56" s="2"/>
      <c r="C56" s="2"/>
    </row>
    <row r="57">
      <c r="B57" s="2"/>
      <c r="C57" s="2"/>
    </row>
    <row r="58">
      <c r="B58" s="2"/>
      <c r="C58" s="2"/>
    </row>
    <row r="59">
      <c r="B59" s="2"/>
      <c r="C59" s="2"/>
    </row>
    <row r="60">
      <c r="B60" s="2"/>
      <c r="C60" s="2"/>
    </row>
    <row r="61">
      <c r="B61" s="2"/>
      <c r="C61" s="2"/>
    </row>
    <row r="62">
      <c r="B62" s="2"/>
      <c r="C62" s="2"/>
    </row>
    <row r="63">
      <c r="B63" s="2"/>
      <c r="C63" s="2"/>
    </row>
    <row r="64">
      <c r="B64" s="2"/>
      <c r="C64" s="2"/>
    </row>
    <row r="65">
      <c r="B65" s="2"/>
      <c r="C65" s="2"/>
    </row>
    <row r="66">
      <c r="B66" s="2"/>
      <c r="C66" s="2"/>
    </row>
    <row r="67">
      <c r="B67" s="2"/>
      <c r="C67" s="2"/>
    </row>
    <row r="68">
      <c r="B68" s="2"/>
      <c r="C68" s="2"/>
    </row>
    <row r="69">
      <c r="B69" s="2"/>
      <c r="C69" s="2"/>
    </row>
    <row r="70">
      <c r="B70" s="2"/>
      <c r="C70" s="2"/>
    </row>
    <row r="71">
      <c r="B71" s="2"/>
      <c r="C71" s="2"/>
    </row>
    <row r="72">
      <c r="B72" s="2"/>
      <c r="C72" s="2"/>
    </row>
    <row r="73">
      <c r="B73" s="2"/>
      <c r="C73" s="2"/>
    </row>
    <row r="74">
      <c r="B74" s="2"/>
      <c r="C74" s="2"/>
    </row>
    <row r="75">
      <c r="B75" s="2"/>
      <c r="C75" s="2"/>
    </row>
    <row r="76">
      <c r="B76" s="2"/>
      <c r="C76" s="2"/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  <c r="C88" s="2"/>
    </row>
    <row r="89">
      <c r="B89" s="2"/>
      <c r="C89" s="2"/>
    </row>
    <row r="90">
      <c r="B90" s="2"/>
      <c r="C90" s="2"/>
    </row>
    <row r="91">
      <c r="B91" s="2"/>
      <c r="C91" s="2"/>
    </row>
    <row r="92">
      <c r="B92" s="2"/>
      <c r="C92" s="2"/>
    </row>
    <row r="93">
      <c r="B93" s="2"/>
      <c r="C93" s="2"/>
    </row>
    <row r="94">
      <c r="B94" s="2"/>
      <c r="C94" s="2"/>
    </row>
    <row r="95">
      <c r="B95" s="2"/>
      <c r="C95" s="2"/>
    </row>
    <row r="96">
      <c r="B96" s="2"/>
      <c r="C96" s="2"/>
    </row>
    <row r="97">
      <c r="B97" s="2"/>
      <c r="C97" s="2"/>
    </row>
    <row r="98">
      <c r="B98" s="2"/>
      <c r="C98" s="2"/>
    </row>
    <row r="99">
      <c r="B99" s="2"/>
      <c r="C99" s="2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7.13"/>
  </cols>
  <sheetData>
    <row r="1">
      <c r="B1" s="1" t="s">
        <v>4</v>
      </c>
      <c r="C1" s="1" t="s">
        <v>6</v>
      </c>
      <c r="D1" s="3" t="s">
        <v>9</v>
      </c>
      <c r="E1" s="3" t="s">
        <v>15</v>
      </c>
      <c r="F1" s="3" t="s">
        <v>18</v>
      </c>
      <c r="G1" s="3" t="s">
        <v>19</v>
      </c>
      <c r="H1" s="3" t="s">
        <v>20</v>
      </c>
      <c r="I1" s="3" t="s">
        <v>21</v>
      </c>
    </row>
    <row r="2">
      <c r="A2" s="3" t="s">
        <v>23</v>
      </c>
      <c r="B2" s="5">
        <v>14.23</v>
      </c>
      <c r="C2" s="5">
        <v>127.0</v>
      </c>
      <c r="D2" s="6">
        <f t="shared" ref="D2:D26" si="2">B2*C2</f>
        <v>1807.21</v>
      </c>
      <c r="E2" s="6">
        <f t="shared" ref="E2:F2" si="1">B2^2</f>
        <v>202.4929</v>
      </c>
      <c r="F2" s="6">
        <f t="shared" si="1"/>
        <v>16129</v>
      </c>
      <c r="G2" s="6">
        <f>A3*D27-B27*C27</f>
        <v>291.82</v>
      </c>
      <c r="H2" s="6">
        <f>SQRT((A3*E27-B28)*(A3*F27-C28))</f>
        <v>3513.976634</v>
      </c>
      <c r="I2" s="6">
        <f>G2/H2</f>
        <v>0.08304551521</v>
      </c>
      <c r="J2" s="3" t="s">
        <v>25</v>
      </c>
    </row>
    <row r="3">
      <c r="A3" s="2">
        <f>COUNT(B1:B26)</f>
        <v>25</v>
      </c>
      <c r="B3" s="5">
        <v>13.2</v>
      </c>
      <c r="C3" s="5">
        <v>100.0</v>
      </c>
      <c r="D3" s="6">
        <f t="shared" si="2"/>
        <v>1320</v>
      </c>
      <c r="E3" s="6">
        <f t="shared" ref="E3:F3" si="3">B3^2</f>
        <v>174.24</v>
      </c>
      <c r="F3" s="6">
        <f t="shared" si="3"/>
        <v>10000</v>
      </c>
      <c r="I3" s="8">
        <f>CORREL(B2:B26,C2:C26)</f>
        <v>0.08304551521</v>
      </c>
      <c r="J3" s="10" t="s">
        <v>28</v>
      </c>
    </row>
    <row r="4">
      <c r="B4" s="5">
        <v>13.16</v>
      </c>
      <c r="C4" s="5">
        <v>101.0</v>
      </c>
      <c r="D4" s="6">
        <f t="shared" si="2"/>
        <v>1329.16</v>
      </c>
      <c r="E4" s="6">
        <f t="shared" ref="E4:F4" si="4">B4^2</f>
        <v>173.1856</v>
      </c>
      <c r="F4" s="6">
        <f t="shared" si="4"/>
        <v>10201</v>
      </c>
    </row>
    <row r="5">
      <c r="B5" s="5">
        <v>14.37</v>
      </c>
      <c r="C5" s="5">
        <v>113.0</v>
      </c>
      <c r="D5" s="6">
        <f t="shared" si="2"/>
        <v>1623.81</v>
      </c>
      <c r="E5" s="6">
        <f t="shared" ref="E5:F5" si="5">B5^2</f>
        <v>206.4969</v>
      </c>
      <c r="F5" s="6">
        <f t="shared" si="5"/>
        <v>12769</v>
      </c>
    </row>
    <row r="6">
      <c r="B6" s="5">
        <v>13.24</v>
      </c>
      <c r="C6" s="5">
        <v>118.0</v>
      </c>
      <c r="D6" s="6">
        <f t="shared" si="2"/>
        <v>1562.32</v>
      </c>
      <c r="E6" s="6">
        <f t="shared" ref="E6:F6" si="6">B6^2</f>
        <v>175.2976</v>
      </c>
      <c r="F6" s="6">
        <f t="shared" si="6"/>
        <v>13924</v>
      </c>
    </row>
    <row r="7">
      <c r="B7" s="5">
        <v>14.2</v>
      </c>
      <c r="C7" s="5">
        <v>112.0</v>
      </c>
      <c r="D7" s="6">
        <f t="shared" si="2"/>
        <v>1590.4</v>
      </c>
      <c r="E7" s="6">
        <f t="shared" ref="E7:F7" si="7">B7^2</f>
        <v>201.64</v>
      </c>
      <c r="F7" s="6">
        <f t="shared" si="7"/>
        <v>12544</v>
      </c>
    </row>
    <row r="8">
      <c r="B8" s="5">
        <v>14.39</v>
      </c>
      <c r="C8" s="5">
        <v>96.0</v>
      </c>
      <c r="D8" s="6">
        <f t="shared" si="2"/>
        <v>1381.44</v>
      </c>
      <c r="E8" s="6">
        <f t="shared" ref="E8:F8" si="8">B8^2</f>
        <v>207.0721</v>
      </c>
      <c r="F8" s="6">
        <f t="shared" si="8"/>
        <v>9216</v>
      </c>
    </row>
    <row r="9">
      <c r="B9" s="5">
        <v>14.06</v>
      </c>
      <c r="C9" s="5">
        <v>121.0</v>
      </c>
      <c r="D9" s="6">
        <f t="shared" si="2"/>
        <v>1701.26</v>
      </c>
      <c r="E9" s="6">
        <f t="shared" ref="E9:F9" si="9">B9^2</f>
        <v>197.6836</v>
      </c>
      <c r="F9" s="6">
        <f t="shared" si="9"/>
        <v>14641</v>
      </c>
    </row>
    <row r="10">
      <c r="B10" s="5">
        <v>14.83</v>
      </c>
      <c r="C10" s="5">
        <v>97.0</v>
      </c>
      <c r="D10" s="6">
        <f t="shared" si="2"/>
        <v>1438.51</v>
      </c>
      <c r="E10" s="6">
        <f t="shared" ref="E10:F10" si="10">B10^2</f>
        <v>219.9289</v>
      </c>
      <c r="F10" s="6">
        <f t="shared" si="10"/>
        <v>9409</v>
      </c>
    </row>
    <row r="11">
      <c r="B11" s="5">
        <v>13.86</v>
      </c>
      <c r="C11" s="5">
        <v>98.0</v>
      </c>
      <c r="D11" s="6">
        <f t="shared" si="2"/>
        <v>1358.28</v>
      </c>
      <c r="E11" s="6">
        <f t="shared" ref="E11:F11" si="11">B11^2</f>
        <v>192.0996</v>
      </c>
      <c r="F11" s="6">
        <f t="shared" si="11"/>
        <v>9604</v>
      </c>
    </row>
    <row r="12">
      <c r="B12" s="5">
        <v>14.1</v>
      </c>
      <c r="C12" s="5">
        <v>105.0</v>
      </c>
      <c r="D12" s="6">
        <f t="shared" si="2"/>
        <v>1480.5</v>
      </c>
      <c r="E12" s="6">
        <f t="shared" ref="E12:F12" si="12">B12^2</f>
        <v>198.81</v>
      </c>
      <c r="F12" s="6">
        <f t="shared" si="12"/>
        <v>11025</v>
      </c>
    </row>
    <row r="13">
      <c r="B13" s="5">
        <v>14.12</v>
      </c>
      <c r="C13" s="5">
        <v>95.0</v>
      </c>
      <c r="D13" s="6">
        <f t="shared" si="2"/>
        <v>1341.4</v>
      </c>
      <c r="E13" s="6">
        <f t="shared" ref="E13:F13" si="13">B13^2</f>
        <v>199.3744</v>
      </c>
      <c r="F13" s="6">
        <f t="shared" si="13"/>
        <v>9025</v>
      </c>
    </row>
    <row r="14">
      <c r="B14" s="5">
        <v>13.75</v>
      </c>
      <c r="C14" s="5">
        <v>89.0</v>
      </c>
      <c r="D14" s="6">
        <f t="shared" si="2"/>
        <v>1223.75</v>
      </c>
      <c r="E14" s="6">
        <f t="shared" ref="E14:F14" si="14">B14^2</f>
        <v>189.0625</v>
      </c>
      <c r="F14" s="6">
        <f t="shared" si="14"/>
        <v>7921</v>
      </c>
    </row>
    <row r="15">
      <c r="B15" s="5">
        <v>14.75</v>
      </c>
      <c r="C15" s="5">
        <v>91.0</v>
      </c>
      <c r="D15" s="6">
        <f t="shared" si="2"/>
        <v>1342.25</v>
      </c>
      <c r="E15" s="6">
        <f t="shared" ref="E15:F15" si="15">B15^2</f>
        <v>217.5625</v>
      </c>
      <c r="F15" s="6">
        <f t="shared" si="15"/>
        <v>8281</v>
      </c>
    </row>
    <row r="16">
      <c r="B16" s="5">
        <v>14.38</v>
      </c>
      <c r="C16" s="5">
        <v>102.0</v>
      </c>
      <c r="D16" s="6">
        <f t="shared" si="2"/>
        <v>1466.76</v>
      </c>
      <c r="E16" s="6">
        <f t="shared" ref="E16:F16" si="16">B16^2</f>
        <v>206.7844</v>
      </c>
      <c r="F16" s="6">
        <f t="shared" si="16"/>
        <v>10404</v>
      </c>
    </row>
    <row r="17">
      <c r="B17" s="5">
        <v>13.63</v>
      </c>
      <c r="C17" s="5">
        <v>112.0</v>
      </c>
      <c r="D17" s="6">
        <f t="shared" si="2"/>
        <v>1526.56</v>
      </c>
      <c r="E17" s="6">
        <f t="shared" ref="E17:F17" si="17">B17^2</f>
        <v>185.7769</v>
      </c>
      <c r="F17" s="6">
        <f t="shared" si="17"/>
        <v>12544</v>
      </c>
    </row>
    <row r="18">
      <c r="B18" s="5">
        <v>14.3</v>
      </c>
      <c r="C18" s="5">
        <v>120.0</v>
      </c>
      <c r="D18" s="6">
        <f t="shared" si="2"/>
        <v>1716</v>
      </c>
      <c r="E18" s="6">
        <f t="shared" ref="E18:F18" si="18">B18^2</f>
        <v>204.49</v>
      </c>
      <c r="F18" s="6">
        <f t="shared" si="18"/>
        <v>14400</v>
      </c>
    </row>
    <row r="19">
      <c r="B19" s="5">
        <v>13.83</v>
      </c>
      <c r="C19" s="5">
        <v>115.0</v>
      </c>
      <c r="D19" s="6">
        <f t="shared" si="2"/>
        <v>1590.45</v>
      </c>
      <c r="E19" s="6">
        <f t="shared" ref="E19:F19" si="19">B19^2</f>
        <v>191.2689</v>
      </c>
      <c r="F19" s="6">
        <f t="shared" si="19"/>
        <v>13225</v>
      </c>
    </row>
    <row r="20">
      <c r="B20" s="5">
        <v>14.19</v>
      </c>
      <c r="C20" s="5">
        <v>108.0</v>
      </c>
      <c r="D20" s="6">
        <f t="shared" si="2"/>
        <v>1532.52</v>
      </c>
      <c r="E20" s="6">
        <f t="shared" ref="E20:F20" si="20">B20^2</f>
        <v>201.3561</v>
      </c>
      <c r="F20" s="6">
        <f t="shared" si="20"/>
        <v>11664</v>
      </c>
    </row>
    <row r="21">
      <c r="B21" s="5">
        <v>13.64</v>
      </c>
      <c r="C21" s="5">
        <v>116.0</v>
      </c>
      <c r="D21" s="6">
        <f t="shared" si="2"/>
        <v>1582.24</v>
      </c>
      <c r="E21" s="6">
        <f t="shared" ref="E21:F21" si="21">B21^2</f>
        <v>186.0496</v>
      </c>
      <c r="F21" s="6">
        <f t="shared" si="21"/>
        <v>13456</v>
      </c>
    </row>
    <row r="22">
      <c r="B22" s="5">
        <v>14.06</v>
      </c>
      <c r="C22" s="5">
        <v>126.0</v>
      </c>
      <c r="D22" s="6">
        <f t="shared" si="2"/>
        <v>1771.56</v>
      </c>
      <c r="E22" s="6">
        <f t="shared" ref="E22:F22" si="22">B22^2</f>
        <v>197.6836</v>
      </c>
      <c r="F22" s="6">
        <f t="shared" si="22"/>
        <v>15876</v>
      </c>
    </row>
    <row r="23">
      <c r="B23" s="5">
        <v>12.93</v>
      </c>
      <c r="C23" s="5">
        <v>102.0</v>
      </c>
      <c r="D23" s="6">
        <f t="shared" si="2"/>
        <v>1318.86</v>
      </c>
      <c r="E23" s="6">
        <f t="shared" ref="E23:F23" si="23">B23^2</f>
        <v>167.1849</v>
      </c>
      <c r="F23" s="6">
        <f t="shared" si="23"/>
        <v>10404</v>
      </c>
    </row>
    <row r="24">
      <c r="B24" s="5">
        <v>13.71</v>
      </c>
      <c r="C24" s="5">
        <v>101.0</v>
      </c>
      <c r="D24" s="6">
        <f t="shared" si="2"/>
        <v>1384.71</v>
      </c>
      <c r="E24" s="6">
        <f t="shared" ref="E24:F24" si="24">B24^2</f>
        <v>187.9641</v>
      </c>
      <c r="F24" s="6">
        <f t="shared" si="24"/>
        <v>10201</v>
      </c>
    </row>
    <row r="25">
      <c r="B25" s="5">
        <v>12.85</v>
      </c>
      <c r="C25" s="5">
        <v>95.0</v>
      </c>
      <c r="D25" s="6">
        <f t="shared" si="2"/>
        <v>1220.75</v>
      </c>
      <c r="E25" s="6">
        <f t="shared" ref="E25:F25" si="25">B25^2</f>
        <v>165.1225</v>
      </c>
      <c r="F25" s="6">
        <f t="shared" si="25"/>
        <v>9025</v>
      </c>
    </row>
    <row r="26">
      <c r="B26" s="5">
        <v>13.5</v>
      </c>
      <c r="C26" s="5">
        <v>96.0</v>
      </c>
      <c r="D26" s="6">
        <f t="shared" si="2"/>
        <v>1296</v>
      </c>
      <c r="E26" s="6">
        <f t="shared" ref="E26:F26" si="26">B26^2</f>
        <v>182.25</v>
      </c>
      <c r="F26" s="6">
        <f t="shared" si="26"/>
        <v>9216</v>
      </c>
    </row>
    <row r="27">
      <c r="A27" s="1" t="s">
        <v>30</v>
      </c>
      <c r="B27" s="6">
        <f t="shared" ref="B27:F27" si="27">SUM(B2:B26)</f>
        <v>347.28</v>
      </c>
      <c r="C27" s="6">
        <f t="shared" si="27"/>
        <v>2656</v>
      </c>
      <c r="D27" s="6">
        <f t="shared" si="27"/>
        <v>36906.7</v>
      </c>
      <c r="E27" s="6">
        <f t="shared" si="27"/>
        <v>4830.8776</v>
      </c>
      <c r="F27" s="6">
        <f t="shared" si="27"/>
        <v>285104</v>
      </c>
    </row>
    <row r="28">
      <c r="A28" s="3" t="s">
        <v>31</v>
      </c>
      <c r="B28" s="6">
        <f t="shared" ref="B28:C28" si="28">B27^2</f>
        <v>120603.3984</v>
      </c>
      <c r="C28" s="6">
        <f t="shared" si="28"/>
        <v>7054336</v>
      </c>
    </row>
    <row r="29">
      <c r="B29" s="2"/>
      <c r="C29" s="2"/>
    </row>
    <row r="30">
      <c r="B30" s="2"/>
      <c r="C30" s="2"/>
    </row>
    <row r="31">
      <c r="C31" s="2"/>
    </row>
    <row r="32">
      <c r="B32" s="2"/>
      <c r="C32" s="2"/>
    </row>
    <row r="33">
      <c r="B33" s="2"/>
      <c r="C33" s="2"/>
    </row>
    <row r="34">
      <c r="B34" s="2"/>
      <c r="C34" s="2"/>
    </row>
    <row r="35">
      <c r="B35" s="2"/>
      <c r="C35" s="2"/>
    </row>
    <row r="36">
      <c r="B36" s="2"/>
      <c r="C36" s="2"/>
    </row>
    <row r="37">
      <c r="B37" s="2"/>
      <c r="C37" s="2"/>
    </row>
    <row r="38">
      <c r="B38" s="2"/>
      <c r="C38" s="2"/>
    </row>
    <row r="39">
      <c r="B39" s="2"/>
      <c r="C39" s="2"/>
    </row>
    <row r="40">
      <c r="B40" s="2"/>
      <c r="C40" s="2"/>
    </row>
    <row r="41">
      <c r="B41" s="2"/>
      <c r="C41" s="2"/>
    </row>
    <row r="42">
      <c r="B42" s="2"/>
      <c r="C42" s="2"/>
    </row>
    <row r="43">
      <c r="B43" s="2"/>
      <c r="C43" s="2"/>
    </row>
    <row r="44">
      <c r="B44" s="2"/>
      <c r="C44" s="2"/>
    </row>
    <row r="45">
      <c r="B45" s="2"/>
      <c r="C45" s="2"/>
    </row>
    <row r="46">
      <c r="B46" s="2"/>
      <c r="C46" s="2"/>
    </row>
    <row r="47">
      <c r="B47" s="2"/>
      <c r="C47" s="2"/>
    </row>
    <row r="48">
      <c r="B48" s="2"/>
      <c r="C48" s="2"/>
    </row>
    <row r="49">
      <c r="B49" s="2"/>
      <c r="C49" s="2"/>
    </row>
    <row r="50">
      <c r="B50" s="2"/>
      <c r="C50" s="2"/>
    </row>
    <row r="51">
      <c r="B51" s="2"/>
      <c r="C51" s="2"/>
    </row>
    <row r="52">
      <c r="B52" s="2"/>
      <c r="C52" s="2"/>
    </row>
    <row r="53">
      <c r="B53" s="2"/>
      <c r="C53" s="2"/>
    </row>
    <row r="54">
      <c r="B54" s="2"/>
      <c r="C54" s="2"/>
    </row>
    <row r="55">
      <c r="B55" s="2"/>
      <c r="C55" s="2"/>
    </row>
    <row r="56">
      <c r="B56" s="2"/>
      <c r="C56" s="2"/>
    </row>
    <row r="57">
      <c r="B57" s="2"/>
      <c r="C57" s="2"/>
    </row>
    <row r="58">
      <c r="B58" s="2"/>
      <c r="C58" s="2"/>
    </row>
    <row r="59">
      <c r="B59" s="2"/>
      <c r="C59" s="2"/>
    </row>
    <row r="60">
      <c r="B60" s="2"/>
      <c r="C60" s="2"/>
    </row>
    <row r="61">
      <c r="B61" s="2"/>
      <c r="C61" s="2"/>
    </row>
    <row r="62">
      <c r="B62" s="2"/>
      <c r="C62" s="2"/>
    </row>
    <row r="63">
      <c r="B63" s="2"/>
      <c r="C63" s="2"/>
    </row>
    <row r="64">
      <c r="B64" s="2"/>
      <c r="C64" s="2"/>
    </row>
    <row r="65">
      <c r="B65" s="2"/>
      <c r="C65" s="2"/>
    </row>
    <row r="66">
      <c r="B66" s="2"/>
      <c r="C66" s="2"/>
    </row>
    <row r="67">
      <c r="B67" s="2"/>
      <c r="C67" s="2"/>
    </row>
    <row r="68">
      <c r="B68" s="2"/>
      <c r="C68" s="2"/>
    </row>
    <row r="69">
      <c r="B69" s="2"/>
      <c r="C69" s="2"/>
    </row>
    <row r="70">
      <c r="B70" s="2"/>
      <c r="C70" s="2"/>
    </row>
    <row r="71">
      <c r="B71" s="2"/>
      <c r="C71" s="2"/>
    </row>
    <row r="72">
      <c r="B72" s="2"/>
      <c r="C72" s="2"/>
    </row>
    <row r="73">
      <c r="B73" s="2"/>
      <c r="C73" s="2"/>
    </row>
    <row r="74">
      <c r="B74" s="2"/>
      <c r="C74" s="2"/>
    </row>
    <row r="75">
      <c r="B75" s="2"/>
      <c r="C75" s="2"/>
    </row>
    <row r="76">
      <c r="B76" s="2"/>
      <c r="C76" s="2"/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  <c r="C88" s="2"/>
    </row>
    <row r="89">
      <c r="B89" s="2"/>
      <c r="C89" s="2"/>
    </row>
    <row r="90">
      <c r="B90" s="2"/>
      <c r="C90" s="2"/>
    </row>
    <row r="91">
      <c r="B91" s="2"/>
      <c r="C91" s="2"/>
    </row>
    <row r="92">
      <c r="B92" s="2"/>
      <c r="C92" s="2"/>
    </row>
    <row r="93">
      <c r="B93" s="2"/>
      <c r="C93" s="2"/>
    </row>
    <row r="94">
      <c r="B94" s="2"/>
      <c r="C94" s="2"/>
    </row>
    <row r="95">
      <c r="B95" s="2"/>
      <c r="C95" s="2"/>
    </row>
    <row r="96">
      <c r="B96" s="2"/>
      <c r="C96" s="2"/>
    </row>
    <row r="97">
      <c r="B97" s="2"/>
      <c r="C97" s="2"/>
    </row>
    <row r="98">
      <c r="B98" s="2"/>
      <c r="C98" s="2"/>
    </row>
    <row r="99">
      <c r="B99" s="2"/>
      <c r="C99" s="2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1.5"/>
    <col customWidth="1" min="11" max="11" width="14.75"/>
    <col customWidth="1" min="12" max="12" width="14.25"/>
    <col customWidth="1" min="13" max="13" width="15.0"/>
  </cols>
  <sheetData>
    <row r="1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37</v>
      </c>
      <c r="J1" s="12" t="s">
        <v>38</v>
      </c>
      <c r="K1" s="11"/>
      <c r="L1" s="11"/>
      <c r="M1" s="11"/>
      <c r="N1" s="11"/>
      <c r="O1" s="11"/>
    </row>
    <row r="2">
      <c r="A2" s="13">
        <v>38.0</v>
      </c>
      <c r="B2" s="13">
        <v>1.0</v>
      </c>
      <c r="C2" s="13">
        <v>19.0</v>
      </c>
      <c r="D2" s="13">
        <v>12.0</v>
      </c>
      <c r="E2" s="14">
        <v>9.5</v>
      </c>
      <c r="F2" s="13">
        <v>10.0</v>
      </c>
      <c r="J2" s="6">
        <f t="array" ref="J2:S5">TRANSPOSE(C2:F11)</f>
        <v>19</v>
      </c>
      <c r="K2" s="6">
        <v>36.0</v>
      </c>
      <c r="L2" s="6">
        <v>41.0</v>
      </c>
      <c r="M2" s="6">
        <v>34.8</v>
      </c>
      <c r="N2" s="15">
        <v>18.7</v>
      </c>
      <c r="O2" s="15">
        <v>27.7</v>
      </c>
      <c r="P2" s="6">
        <v>59.0</v>
      </c>
      <c r="Q2" s="6">
        <v>44.0</v>
      </c>
      <c r="R2" s="6">
        <v>56.0</v>
      </c>
      <c r="S2" s="6">
        <v>47.0</v>
      </c>
    </row>
    <row r="3">
      <c r="A3" s="13">
        <v>62.2</v>
      </c>
      <c r="B3" s="13">
        <v>1.0</v>
      </c>
      <c r="C3" s="13">
        <v>36.0</v>
      </c>
      <c r="D3" s="13">
        <v>9.0</v>
      </c>
      <c r="E3" s="13">
        <v>10.0</v>
      </c>
      <c r="F3" s="13">
        <v>12.0</v>
      </c>
      <c r="J3" s="6">
        <v>12.0</v>
      </c>
      <c r="K3" s="6">
        <v>9.0</v>
      </c>
      <c r="L3" s="6">
        <v>11.0</v>
      </c>
      <c r="M3" s="6">
        <v>10.0</v>
      </c>
      <c r="N3" s="6">
        <v>2.0</v>
      </c>
      <c r="O3" s="6">
        <v>1.0</v>
      </c>
      <c r="P3" s="6">
        <v>2.0</v>
      </c>
      <c r="Q3" s="6">
        <v>8.0</v>
      </c>
      <c r="R3" s="6">
        <v>9.0</v>
      </c>
      <c r="S3" s="6">
        <v>8.0</v>
      </c>
    </row>
    <row r="4">
      <c r="A4" s="13">
        <v>125.0</v>
      </c>
      <c r="B4" s="13">
        <v>1.0</v>
      </c>
      <c r="C4" s="13">
        <v>41.0</v>
      </c>
      <c r="D4" s="13">
        <v>11.0</v>
      </c>
      <c r="E4" s="13">
        <v>8.0</v>
      </c>
      <c r="F4" s="13">
        <v>12.0</v>
      </c>
      <c r="J4" s="15">
        <v>9.5</v>
      </c>
      <c r="K4" s="6">
        <v>10.0</v>
      </c>
      <c r="L4" s="6">
        <v>8.0</v>
      </c>
      <c r="M4" s="15">
        <v>10.6</v>
      </c>
      <c r="N4" s="6">
        <v>6.0</v>
      </c>
      <c r="O4" s="15">
        <v>11.3</v>
      </c>
      <c r="P4" s="6">
        <v>13.0</v>
      </c>
      <c r="Q4" s="6">
        <v>11.0</v>
      </c>
      <c r="R4" s="6">
        <v>12.0</v>
      </c>
      <c r="S4" s="6">
        <v>12.0</v>
      </c>
    </row>
    <row r="5">
      <c r="A5" s="13">
        <v>61.1</v>
      </c>
      <c r="B5" s="13">
        <v>1.0</v>
      </c>
      <c r="C5" s="13">
        <v>34.8</v>
      </c>
      <c r="D5" s="13">
        <v>10.0</v>
      </c>
      <c r="E5" s="14">
        <v>10.6</v>
      </c>
      <c r="F5" s="13">
        <v>12.0</v>
      </c>
      <c r="J5" s="6">
        <v>10.0</v>
      </c>
      <c r="K5" s="6">
        <v>12.0</v>
      </c>
      <c r="L5" s="6">
        <v>12.0</v>
      </c>
      <c r="M5" s="6">
        <v>12.0</v>
      </c>
      <c r="N5" s="6">
        <v>12.0</v>
      </c>
      <c r="O5" s="6">
        <v>12.0</v>
      </c>
      <c r="P5" s="6">
        <v>2.0</v>
      </c>
      <c r="Q5" s="6">
        <v>0.0</v>
      </c>
      <c r="R5" s="6">
        <v>6.0</v>
      </c>
      <c r="S5" s="6">
        <v>8.0</v>
      </c>
    </row>
    <row r="6">
      <c r="A6" s="13">
        <v>67.0</v>
      </c>
      <c r="B6" s="13">
        <v>1.0</v>
      </c>
      <c r="C6" s="14">
        <v>18.7</v>
      </c>
      <c r="D6" s="13">
        <v>2.0</v>
      </c>
      <c r="E6" s="13">
        <v>6.0</v>
      </c>
      <c r="F6" s="13">
        <v>12.0</v>
      </c>
    </row>
    <row r="7">
      <c r="A7" s="13">
        <v>93.0</v>
      </c>
      <c r="B7" s="13">
        <v>1.0</v>
      </c>
      <c r="C7" s="14">
        <v>27.7</v>
      </c>
      <c r="D7" s="13">
        <v>1.0</v>
      </c>
      <c r="E7" s="14">
        <v>11.3</v>
      </c>
      <c r="F7" s="13">
        <v>12.0</v>
      </c>
      <c r="J7" s="12" t="s">
        <v>39</v>
      </c>
    </row>
    <row r="8">
      <c r="A8" s="13">
        <v>118.0</v>
      </c>
      <c r="B8" s="13">
        <v>1.0</v>
      </c>
      <c r="C8" s="13">
        <v>59.0</v>
      </c>
      <c r="D8" s="13">
        <v>2.0</v>
      </c>
      <c r="E8" s="13">
        <v>13.0</v>
      </c>
      <c r="F8" s="13">
        <v>2.0</v>
      </c>
      <c r="J8" s="6">
        <f t="array" ref="J8:M11">MMULT(TRANSPOSE(C2:F11),C2:F11)</f>
        <v>16428.02</v>
      </c>
      <c r="K8" s="6">
        <v>2766.1000000000004</v>
      </c>
      <c r="L8" s="6">
        <v>4149.59</v>
      </c>
      <c r="M8" s="6">
        <v>2918.4</v>
      </c>
      <c r="O8" s="6">
        <f t="array" ref="O8:R11">MMULT(J2:S5,C2:F11)</f>
        <v>16428.02</v>
      </c>
      <c r="P8" s="6">
        <v>2766.1000000000004</v>
      </c>
      <c r="Q8" s="6">
        <v>4149.59</v>
      </c>
      <c r="R8" s="6">
        <v>2918.4</v>
      </c>
    </row>
    <row r="9">
      <c r="A9" s="13">
        <v>132.0</v>
      </c>
      <c r="B9" s="13">
        <v>1.0</v>
      </c>
      <c r="C9" s="13">
        <v>44.0</v>
      </c>
      <c r="D9" s="13">
        <v>8.0</v>
      </c>
      <c r="E9" s="13">
        <v>11.0</v>
      </c>
      <c r="F9" s="13">
        <v>0.0</v>
      </c>
      <c r="J9" s="6">
        <v>2766.1000000000004</v>
      </c>
      <c r="K9" s="6">
        <v>664.0</v>
      </c>
      <c r="L9" s="6">
        <v>739.3</v>
      </c>
      <c r="M9" s="6">
        <v>638.0</v>
      </c>
      <c r="O9" s="6">
        <v>2766.1000000000004</v>
      </c>
      <c r="P9" s="6">
        <v>664.0</v>
      </c>
      <c r="Q9" s="6">
        <v>739.3</v>
      </c>
      <c r="R9" s="6">
        <v>638.0</v>
      </c>
    </row>
    <row r="10">
      <c r="A10" s="13">
        <v>92.5</v>
      </c>
      <c r="B10" s="13">
        <v>1.0</v>
      </c>
      <c r="C10" s="13">
        <v>56.0</v>
      </c>
      <c r="D10" s="13">
        <v>9.0</v>
      </c>
      <c r="E10" s="13">
        <v>12.0</v>
      </c>
      <c r="F10" s="13">
        <v>6.0</v>
      </c>
      <c r="J10" s="6">
        <v>4149.59</v>
      </c>
      <c r="K10" s="6">
        <v>739.3</v>
      </c>
      <c r="L10" s="6">
        <v>1108.3000000000002</v>
      </c>
      <c r="M10" s="6">
        <v>839.8</v>
      </c>
      <c r="O10" s="6">
        <v>4149.59</v>
      </c>
      <c r="P10" s="6">
        <v>739.3</v>
      </c>
      <c r="Q10" s="6">
        <v>1108.3000000000002</v>
      </c>
      <c r="R10" s="6">
        <v>839.8</v>
      </c>
    </row>
    <row r="11">
      <c r="A11" s="13">
        <v>105.0</v>
      </c>
      <c r="B11" s="13">
        <v>1.0</v>
      </c>
      <c r="C11" s="13">
        <v>47.0</v>
      </c>
      <c r="D11" s="13">
        <v>8.0</v>
      </c>
      <c r="E11" s="13">
        <v>12.0</v>
      </c>
      <c r="F11" s="13">
        <v>8.0</v>
      </c>
      <c r="J11" s="6">
        <v>2918.4</v>
      </c>
      <c r="K11" s="6">
        <v>638.0</v>
      </c>
      <c r="L11" s="6">
        <v>839.8</v>
      </c>
      <c r="M11" s="6">
        <v>924.0</v>
      </c>
      <c r="O11" s="6">
        <v>2918.4</v>
      </c>
      <c r="P11" s="6">
        <v>638.0</v>
      </c>
      <c r="Q11" s="6">
        <v>839.8</v>
      </c>
      <c r="R11" s="6">
        <v>924.0</v>
      </c>
    </row>
    <row r="14">
      <c r="J14" s="12" t="s">
        <v>40</v>
      </c>
    </row>
    <row r="15">
      <c r="A15" s="3" t="s">
        <v>41</v>
      </c>
      <c r="B15" s="15">
        <f t="shared" ref="B15:B24" si="1">$J$30*C2+$J$31*D2+$J$32*E2+$J$33*F2</f>
        <v>44.05704664</v>
      </c>
      <c r="D15" s="3" t="s">
        <v>42</v>
      </c>
      <c r="J15" s="16">
        <f t="array" ref="J15:M18">MINVERSE(MMULT(TRANSPOSE(C2:F11),C2:F11))</f>
        <v>0.001447724131</v>
      </c>
      <c r="K15" s="6">
        <v>-5.719960420944725E-4</v>
      </c>
      <c r="L15" s="6">
        <v>-0.006017595772747649</v>
      </c>
      <c r="M15" s="6">
        <v>0.00129163668835924</v>
      </c>
      <c r="O15" s="6">
        <f t="array" ref="O15:R18">MINVERSE(O8:R11)</f>
        <v>0.001447724131</v>
      </c>
      <c r="P15" s="6">
        <v>-5.719960420944725E-4</v>
      </c>
      <c r="Q15" s="6">
        <v>-0.006017595772747649</v>
      </c>
      <c r="R15" s="6">
        <v>0.00129163668835924</v>
      </c>
    </row>
    <row r="16">
      <c r="B16" s="6">
        <f t="shared" si="1"/>
        <v>84.39329295</v>
      </c>
      <c r="D16" s="6">
        <f t="array" ref="D16:H16">LINEST(A2:A11,C2:F11)</f>
        <v>-2.126392177</v>
      </c>
      <c r="E16" s="6">
        <v>-6.245800933108944</v>
      </c>
      <c r="F16" s="6">
        <v>-1.6951210501152898</v>
      </c>
      <c r="G16" s="6">
        <v>1.752485693876223</v>
      </c>
      <c r="H16" s="6">
        <v>117.29817414564653</v>
      </c>
      <c r="J16" s="6">
        <v>-5.719960420944723E-4</v>
      </c>
      <c r="K16" s="6">
        <v>0.006901590837071832</v>
      </c>
      <c r="L16" s="6">
        <v>-7.072590107202523E-4</v>
      </c>
      <c r="M16" s="6">
        <v>-0.002315958428139019</v>
      </c>
      <c r="O16" s="6">
        <v>-5.719960420944723E-4</v>
      </c>
      <c r="P16" s="6">
        <v>0.006901590837071832</v>
      </c>
      <c r="Q16" s="6">
        <v>-7.072590107202523E-4</v>
      </c>
      <c r="R16" s="6">
        <v>-0.002315958428139019</v>
      </c>
    </row>
    <row r="17">
      <c r="B17" s="6">
        <f t="shared" si="1"/>
        <v>90.88137778</v>
      </c>
      <c r="D17" s="17">
        <f t="array" ref="D17:H17">LINEST(A2:A11,C2:F11,FALSE)</f>
        <v>1.046327389</v>
      </c>
      <c r="E17" s="17">
        <v>0.7952566227444419</v>
      </c>
      <c r="F17" s="17">
        <v>-1.059054057975677</v>
      </c>
      <c r="G17" s="17">
        <v>2.039341238186256</v>
      </c>
      <c r="H17" s="6">
        <v>0.0</v>
      </c>
      <c r="J17" s="6">
        <v>-0.006017595772747649</v>
      </c>
      <c r="K17" s="6">
        <v>-7.072590107202511E-4</v>
      </c>
      <c r="L17" s="6">
        <v>0.029336501627156442</v>
      </c>
      <c r="M17" s="6">
        <v>-0.007168626963700999</v>
      </c>
      <c r="O17" s="6">
        <v>-0.006017595772747649</v>
      </c>
      <c r="P17" s="6">
        <v>-7.072590107202511E-4</v>
      </c>
      <c r="Q17" s="6">
        <v>0.029336501627156442</v>
      </c>
      <c r="R17" s="6">
        <v>-0.007168626963700999</v>
      </c>
    </row>
    <row r="18">
      <c r="B18" s="15">
        <f t="shared" si="1"/>
        <v>81.36418338</v>
      </c>
      <c r="J18" s="6">
        <v>0.0012916366883592393</v>
      </c>
      <c r="K18" s="6">
        <v>-0.0023159584281390194</v>
      </c>
      <c r="L18" s="6">
        <v>-0.007168626963700997</v>
      </c>
      <c r="M18" s="6">
        <v>0.005117188192598688</v>
      </c>
      <c r="O18" s="6">
        <v>0.0012916366883592393</v>
      </c>
      <c r="P18" s="6">
        <v>-0.0023159584281390194</v>
      </c>
      <c r="Q18" s="6">
        <v>-0.007168626963700997</v>
      </c>
      <c r="R18" s="6">
        <v>0.005117188192598688</v>
      </c>
    </row>
    <row r="19">
      <c r="B19" s="15">
        <f t="shared" si="1"/>
        <v>53.34504145</v>
      </c>
    </row>
    <row r="20">
      <c r="B20" s="6">
        <f t="shared" si="1"/>
        <v>76.97302675</v>
      </c>
    </row>
    <row r="21">
      <c r="B21" s="6">
        <f t="shared" si="1"/>
        <v>130.6340158</v>
      </c>
      <c r="J21" s="12" t="s">
        <v>43</v>
      </c>
    </row>
    <row r="22">
      <c r="B22" s="6">
        <f t="shared" si="1"/>
        <v>90.00640487</v>
      </c>
    </row>
    <row r="23">
      <c r="B23" s="6">
        <f t="shared" si="1"/>
        <v>120.4926666</v>
      </c>
      <c r="J23" s="6">
        <f t="array" ref="J23:S26">MMULT(O15:R18,J2:S5)</f>
        <v>-0.02360798697</v>
      </c>
      <c r="K23" s="6">
        <v>0.0022937868805360945</v>
      </c>
      <c r="L23" s="6">
        <v>0.020423606998307996</v>
      </c>
      <c r="M23" s="6">
        <v>-0.003626035582758702</v>
      </c>
      <c r="N23" s="6">
        <v>0.005322514794817195</v>
      </c>
      <c r="O23" s="6">
        <v>-0.01296922957701288</v>
      </c>
      <c r="P23" s="6">
        <v>0.00862625999310359</v>
      </c>
      <c r="Q23" s="6">
        <v>-0.007069660060083076</v>
      </c>
      <c r="R23" s="6">
        <v>0.011463257830747565</v>
      </c>
      <c r="S23" s="6">
        <v>0.0015890100679225166</v>
      </c>
    </row>
    <row r="24">
      <c r="B24" s="6">
        <f t="shared" si="1"/>
        <v>105.2903043</v>
      </c>
      <c r="J24" s="6">
        <v>0.04207262036183443</v>
      </c>
      <c r="K24" s="6">
        <v>0.006658368773374737</v>
      </c>
      <c r="L24" s="6">
        <v>0.019016088258486538</v>
      </c>
      <c r="M24" s="6">
        <v>0.013821999454527778</v>
      </c>
      <c r="N24" s="6">
        <v>-0.028928199515012708</v>
      </c>
      <c r="O24" s="6">
        <v>-0.044726227487752124</v>
      </c>
      <c r="P24" s="6">
        <v>-0.03377086880507152</v>
      </c>
      <c r="Q24" s="6">
        <v>0.0222650517264951</v>
      </c>
      <c r="R24" s="6">
        <v>0.007699680478878899</v>
      </c>
      <c r="S24" s="6">
        <v>0.001314137164379281</v>
      </c>
    </row>
    <row r="25">
      <c r="J25" s="6">
        <v>0.08418906801012788</v>
      </c>
      <c r="K25" s="6">
        <v>-0.015657286208245205</v>
      </c>
      <c r="L25" s="6">
        <v>-0.10583278634773681</v>
      </c>
      <c r="M25" s="6">
        <v>0.008458470684625644</v>
      </c>
      <c r="N25" s="6">
        <v>-0.02394807277329486</v>
      </c>
      <c r="O25" s="6">
        <v>0.07808428290662571</v>
      </c>
      <c r="P25" s="6">
        <v>0.010584598612080038</v>
      </c>
      <c r="Q25" s="6">
        <v>0.05226923181206233</v>
      </c>
      <c r="R25" s="6">
        <v>-0.034324436626679215</v>
      </c>
      <c r="S25" s="6">
        <v>0.006203930411367846</v>
      </c>
    </row>
    <row r="26">
      <c r="J26" s="6">
        <v>-0.020180478288015287</v>
      </c>
      <c r="K26" s="6">
        <v>0.015375283601855722</v>
      </c>
      <c r="L26" s="6">
        <v>0.03153880411477587</v>
      </c>
      <c r="M26" s="6">
        <v>0.007208184969465015</v>
      </c>
      <c r="N26" s="6">
        <v>0.03791618574501801</v>
      </c>
      <c r="O26" s="6">
        <v>0.013863151460774888</v>
      </c>
      <c r="P26" s="6">
        <v>-0.011383126385998506</v>
      </c>
      <c r="Q26" s="6">
        <v>-0.040550549738016584</v>
      </c>
      <c r="R26" s="6">
        <v>-0.003832365713953609</v>
      </c>
      <c r="S26" s="6">
        <v>-0.002906761095850356</v>
      </c>
    </row>
    <row r="29">
      <c r="J29" s="12" t="s">
        <v>44</v>
      </c>
    </row>
    <row r="30">
      <c r="I30" s="3" t="s">
        <v>45</v>
      </c>
      <c r="J30" s="17">
        <f t="array" ref="J30:J33">MMULT(J23:S26,A2:A11)</f>
        <v>2.039341238</v>
      </c>
    </row>
    <row r="31">
      <c r="I31" s="3" t="s">
        <v>46</v>
      </c>
      <c r="J31" s="17">
        <v>-1.0590540579756818</v>
      </c>
    </row>
    <row r="32">
      <c r="I32" s="3" t="s">
        <v>47</v>
      </c>
      <c r="J32" s="17">
        <v>0.7952566227444361</v>
      </c>
    </row>
    <row r="33">
      <c r="I33" s="3" t="s">
        <v>48</v>
      </c>
      <c r="J33" s="17">
        <v>1.0463273892694036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38.0</v>
      </c>
      <c r="B1" s="13">
        <v>1.0</v>
      </c>
      <c r="C1" s="13">
        <v>19.0</v>
      </c>
      <c r="D1" s="13">
        <v>12.0</v>
      </c>
      <c r="E1" s="14">
        <v>9.5</v>
      </c>
      <c r="F1" s="13">
        <v>10.0</v>
      </c>
    </row>
    <row r="2">
      <c r="A2" s="13">
        <v>62.2</v>
      </c>
      <c r="B2" s="13">
        <v>1.0</v>
      </c>
      <c r="C2" s="13">
        <v>36.0</v>
      </c>
      <c r="D2" s="13">
        <v>9.0</v>
      </c>
      <c r="E2" s="13">
        <v>10.0</v>
      </c>
      <c r="F2" s="13">
        <v>12.0</v>
      </c>
    </row>
    <row r="3">
      <c r="A3" s="13">
        <v>125.0</v>
      </c>
      <c r="B3" s="13">
        <v>1.0</v>
      </c>
      <c r="C3" s="13">
        <v>41.0</v>
      </c>
      <c r="D3" s="13">
        <v>11.0</v>
      </c>
      <c r="E3" s="13">
        <v>8.0</v>
      </c>
      <c r="F3" s="13">
        <v>12.0</v>
      </c>
    </row>
    <row r="4">
      <c r="A4" s="13">
        <v>61.1</v>
      </c>
      <c r="B4" s="13">
        <v>1.0</v>
      </c>
      <c r="C4" s="13">
        <v>34.8</v>
      </c>
      <c r="D4" s="13">
        <v>10.0</v>
      </c>
      <c r="E4" s="14">
        <v>10.6</v>
      </c>
      <c r="F4" s="13">
        <v>12.0</v>
      </c>
    </row>
    <row r="5">
      <c r="A5" s="13">
        <v>67.0</v>
      </c>
      <c r="B5" s="13">
        <v>1.0</v>
      </c>
      <c r="C5" s="14">
        <v>18.7</v>
      </c>
      <c r="D5" s="13">
        <v>2.0</v>
      </c>
      <c r="E5" s="13">
        <v>6.0</v>
      </c>
      <c r="F5" s="13">
        <v>12.0</v>
      </c>
    </row>
    <row r="6">
      <c r="A6" s="13">
        <v>93.0</v>
      </c>
      <c r="B6" s="13">
        <v>1.0</v>
      </c>
      <c r="C6" s="14">
        <v>27.7</v>
      </c>
      <c r="D6" s="13">
        <v>1.0</v>
      </c>
      <c r="E6" s="14">
        <v>11.3</v>
      </c>
      <c r="F6" s="13">
        <v>12.0</v>
      </c>
    </row>
    <row r="7">
      <c r="A7" s="13">
        <v>118.0</v>
      </c>
      <c r="B7" s="13">
        <v>1.0</v>
      </c>
      <c r="C7" s="13">
        <v>59.0</v>
      </c>
      <c r="D7" s="13">
        <v>2.0</v>
      </c>
      <c r="E7" s="13">
        <v>13.0</v>
      </c>
      <c r="F7" s="13">
        <v>2.0</v>
      </c>
    </row>
    <row r="8">
      <c r="A8" s="13">
        <v>132.0</v>
      </c>
      <c r="B8" s="13">
        <v>1.0</v>
      </c>
      <c r="C8" s="13">
        <v>44.0</v>
      </c>
      <c r="D8" s="13">
        <v>8.0</v>
      </c>
      <c r="E8" s="13">
        <v>11.0</v>
      </c>
      <c r="F8" s="13">
        <v>0.0</v>
      </c>
    </row>
    <row r="9">
      <c r="A9" s="13">
        <v>92.5</v>
      </c>
      <c r="B9" s="13">
        <v>1.0</v>
      </c>
      <c r="C9" s="13">
        <v>56.0</v>
      </c>
      <c r="D9" s="13">
        <v>9.0</v>
      </c>
      <c r="E9" s="13">
        <v>12.0</v>
      </c>
      <c r="F9" s="13">
        <v>6.0</v>
      </c>
    </row>
    <row r="10">
      <c r="A10" s="13">
        <v>105.0</v>
      </c>
      <c r="B10" s="13">
        <v>1.0</v>
      </c>
      <c r="C10" s="13">
        <v>47.0</v>
      </c>
      <c r="D10" s="13">
        <v>8.0</v>
      </c>
      <c r="E10" s="13">
        <v>12.0</v>
      </c>
      <c r="F10" s="13">
        <v>8.0</v>
      </c>
    </row>
    <row r="16">
      <c r="B16" s="6">
        <f t="array" ref="B16:F16">linest(A1:A10,C1:F10)</f>
        <v>-2.126392177</v>
      </c>
      <c r="C16" s="6">
        <v>-6.245800933108944</v>
      </c>
      <c r="D16" s="6">
        <v>-1.6951210501152898</v>
      </c>
      <c r="E16" s="6">
        <v>1.752485693876223</v>
      </c>
      <c r="F16" s="6">
        <v>117.29817414564653</v>
      </c>
    </row>
  </sheetData>
  <drawing r:id="rId1"/>
</worksheet>
</file>